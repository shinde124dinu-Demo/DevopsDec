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xampp\htdocs\deepakjoshi\docformat\"/>
    </mc:Choice>
  </mc:AlternateContent>
  <xr:revisionPtr revIDLastSave="0" documentId="8_{97043C7C-7B7A-154B-80DC-8800BD9E1559}" xr6:coauthVersionLast="47" xr6:coauthVersionMax="47" xr10:uidLastSave="{00000000-0000-0000-0000-000000000000}"/>
  <bookViews>
    <workbookView xWindow="80" yWindow="100" windowWidth="19100" windowHeight="7300" xr2:uid="{00000000-000D-0000-FFFF-FFFF00000000}"/>
  </bookViews>
  <sheets>
    <sheet name="Month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</calcChain>
</file>

<file path=xl/sharedStrings.xml><?xml version="1.0" encoding="utf-8"?>
<sst xmlns="http://schemas.openxmlformats.org/spreadsheetml/2006/main" count="366" uniqueCount="64">
  <si>
    <t>Receipt No.</t>
  </si>
  <si>
    <t>Date of Receipt</t>
  </si>
  <si>
    <t>DD</t>
  </si>
  <si>
    <t>MM</t>
  </si>
  <si>
    <t>YYYY</t>
  </si>
  <si>
    <t>Guru Pooja Diwas</t>
  </si>
  <si>
    <t>Welfare Fund</t>
  </si>
  <si>
    <t>Corpus Fund</t>
  </si>
  <si>
    <t>Patrika Vibhag</t>
  </si>
  <si>
    <t>Receipt Prefix</t>
  </si>
  <si>
    <t>Cash / Cheque</t>
  </si>
  <si>
    <t>Cash</t>
  </si>
  <si>
    <t>Bank Name</t>
  </si>
  <si>
    <t>Water &amp; Electricity Sewa</t>
  </si>
  <si>
    <t>Rent Received</t>
  </si>
  <si>
    <t>Status</t>
  </si>
  <si>
    <t>Issued</t>
  </si>
  <si>
    <t>Cancelled</t>
  </si>
  <si>
    <t>Defected</t>
  </si>
  <si>
    <t>Mah. Samagam Sewa</t>
  </si>
  <si>
    <t>Local Samagam Sewa</t>
  </si>
  <si>
    <t>Health City</t>
  </si>
  <si>
    <t>Aid from SNM Delhi</t>
  </si>
  <si>
    <t>Langar Sewa</t>
  </si>
  <si>
    <t>Wheat Sewa</t>
  </si>
  <si>
    <t>Grand Total</t>
  </si>
  <si>
    <t>C003</t>
  </si>
  <si>
    <t>C004</t>
  </si>
  <si>
    <t>C014</t>
  </si>
  <si>
    <t>C008</t>
  </si>
  <si>
    <t>C026</t>
  </si>
  <si>
    <t>C015</t>
  </si>
  <si>
    <t>Other
Receipt</t>
  </si>
  <si>
    <t>B/Fund</t>
  </si>
  <si>
    <t>Dispensary</t>
  </si>
  <si>
    <t>Select Fund Name</t>
  </si>
  <si>
    <t>Spritual Complex Ghanour</t>
  </si>
  <si>
    <t xml:space="preserve">Please Do not delete any value </t>
  </si>
  <si>
    <t>Manav Ekta Diwas/Blood Donation</t>
  </si>
  <si>
    <t>Spl. BF</t>
  </si>
  <si>
    <t>Social Welfare Receipts</t>
  </si>
  <si>
    <t>Cheque</t>
  </si>
  <si>
    <t>Mukti Parv Samagam Sewa</t>
  </si>
  <si>
    <t>Offering</t>
  </si>
  <si>
    <t>UPI</t>
  </si>
  <si>
    <t>NEFT</t>
  </si>
  <si>
    <t>Transaction No.</t>
  </si>
  <si>
    <t>Date of Transaction</t>
  </si>
  <si>
    <t>Receipt Book Entry Format</t>
  </si>
  <si>
    <r>
      <rPr>
        <b/>
        <sz val="16"/>
        <color rgb="FFFF0000"/>
        <rFont val="Cambria"/>
        <family val="1"/>
        <scheme val="major"/>
      </rPr>
      <t xml:space="preserve">Important Point:- </t>
    </r>
    <r>
      <rPr>
        <b/>
        <sz val="14"/>
        <color rgb="FFFF0000"/>
        <rFont val="Cambria"/>
        <family val="1"/>
        <scheme val="major"/>
      </rPr>
      <t xml:space="preserve">
1) Above Rs. 20,000/- amount must be in Cheque/UPI/NEFT
2) Above Rs. 50,000/- amount must be in Cheque/UPI/NEFT and PAN &amp; Bank Number Required
3) Cheque/UPI/NEFT Date should be equal or less then date of receipt
4) Corpus Fund receipts must be receive by Cheque/UPI/NEFT</t>
    </r>
  </si>
  <si>
    <t>Petrol-Diesel Sewa</t>
  </si>
  <si>
    <t>Vehicle Sewa</t>
  </si>
  <si>
    <t>Eye Camp Sewa</t>
  </si>
  <si>
    <t>Furniture-Fixture Sewa</t>
  </si>
  <si>
    <t>Govt. Blood Donation</t>
  </si>
  <si>
    <t>Publication Receipts</t>
  </si>
  <si>
    <t>Sale of Building Materials</t>
  </si>
  <si>
    <t>Samarpan Diwas Receipts</t>
  </si>
  <si>
    <t>UP Samagam Sewa</t>
  </si>
  <si>
    <t>M.P. Samagam Sewa</t>
  </si>
  <si>
    <t>Generater Sewa</t>
  </si>
  <si>
    <t>Mahila Samagam Receipts</t>
  </si>
  <si>
    <t>Annual Samagam Sewa</t>
  </si>
  <si>
    <t>CGB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</si>
</sst>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2"/>
      <color theme="4"/>
      <name val="Arial"/>
      <family val="2"/>
    </font>
    <font>
      <b/>
      <sz val="14"/>
      <color rgb="FFFF0000"/>
      <name val="Cambria"/>
      <family val="1"/>
      <scheme val="major"/>
    </font>
    <font>
      <b/>
      <sz val="16"/>
      <color rgb="FFFF0000"/>
      <name val="Cambria"/>
      <family val="1"/>
      <scheme val="major"/>
    </font>
    <font>
      <b/>
      <sz val="22"/>
      <color theme="3"/>
      <name val="Cambria"/>
      <family val="1"/>
      <scheme val="maj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5" fillId="0" borderId="12" xfId="0" applyFont="1" applyBorder="1" applyAlignment="1" applyProtection="1">
      <alignment vertical="center" wrapText="1"/>
    </xf>
    <xf numFmtId="0" fontId="5" fillId="0" borderId="13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9" xfId="0" applyFont="1" applyFill="1" applyBorder="1" applyAlignment="1" applyProtection="1">
      <alignment vertical="center"/>
    </xf>
    <xf numFmtId="0" fontId="7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9" fillId="0" borderId="15" xfId="0" applyFont="1" applyBorder="1" applyAlignment="1" applyProtection="1">
      <alignment horizontal="left" vertical="top" wrapText="1" indent="1"/>
    </xf>
    <xf numFmtId="0" fontId="9" fillId="0" borderId="16" xfId="0" applyFont="1" applyBorder="1" applyAlignment="1" applyProtection="1">
      <alignment horizontal="left" vertical="top" wrapText="1" indent="1"/>
    </xf>
    <xf numFmtId="0" fontId="9" fillId="0" borderId="17" xfId="0" applyFont="1" applyBorder="1" applyAlignment="1" applyProtection="1">
      <alignment horizontal="left" vertical="top" wrapText="1" indent="1"/>
    </xf>
    <xf numFmtId="0" fontId="11" fillId="0" borderId="15" xfId="0" applyFont="1" applyBorder="1" applyAlignment="1" applyProtection="1">
      <alignment horizontal="center" vertical="center"/>
    </xf>
    <xf numFmtId="0" fontId="11" fillId="0" borderId="16" xfId="0" applyFont="1" applyBorder="1" applyAlignment="1" applyProtection="1">
      <alignment horizontal="center" vertical="center"/>
    </xf>
    <xf numFmtId="0" fontId="11" fillId="0" borderId="17" xfId="0" applyFont="1" applyBorder="1" applyAlignment="1" applyProtection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9" fillId="0" borderId="13" xfId="0" applyFont="1" applyBorder="1" applyAlignment="1" applyProtection="1">
      <alignment horizontal="left" vertical="center" wrapText="1"/>
    </xf>
    <xf numFmtId="0" fontId="9" fillId="0" borderId="13" xfId="0" applyFont="1" applyBorder="1" applyAlignment="1" applyProtection="1">
      <alignment horizontal="right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0" fillId="0" borderId="3" xfId="0" applyBorder="1" applyProtection="1"/>
    <xf numFmtId="0" fontId="1" fillId="0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8"/>
  <sheetViews>
    <sheetView tabSelected="1" topLeftCell="D1" zoomScale="85" zoomScaleNormal="85" workbookViewId="0">
      <pane ySplit="4" topLeftCell="D24" activePane="bottomLeft" state="frozen"/>
      <selection activeCell="D1" sqref="D1"/>
      <selection pane="bottomLeft" activeCell="G37" sqref="G37"/>
    </sheetView>
  </sheetViews>
  <sheetFormatPr defaultColWidth="8.7421875" defaultRowHeight="12.75" zeroHeight="1" x14ac:dyDescent="0.2"/>
  <cols>
    <col min="1" max="1" width="7.53125" style="2" customWidth="1"/>
    <col min="2" max="2" width="5.109375" style="2" customWidth="1"/>
    <col min="3" max="3" width="4.16796875" style="2" customWidth="1"/>
    <col min="4" max="4" width="8.0703125" style="2" customWidth="1"/>
    <col min="5" max="5" width="8.33984375" style="2" customWidth="1"/>
    <col min="6" max="6" width="9.68359375" style="2" customWidth="1"/>
    <col min="7" max="7" width="9.68359375" style="2" bestFit="1" customWidth="1"/>
    <col min="8" max="8" width="9.55078125" style="2" customWidth="1"/>
    <col min="9" max="9" width="10.22265625" style="2" customWidth="1"/>
    <col min="10" max="10" width="9.68359375" style="2" customWidth="1"/>
    <col min="11" max="11" width="11.56640625" style="2" customWidth="1"/>
    <col min="12" max="12" width="9.14453125" style="2" customWidth="1"/>
    <col min="13" max="13" width="8.0703125" style="2" hidden="1" customWidth="1"/>
    <col min="14" max="16" width="11.02734375" style="2" hidden="1" customWidth="1"/>
    <col min="17" max="17" width="9.68359375" style="2" customWidth="1"/>
    <col min="18" max="18" width="13.98828125" style="2" customWidth="1"/>
    <col min="19" max="19" width="8.7421875" style="3" customWidth="1"/>
    <col min="20" max="20" width="11.97265625" style="3" customWidth="1"/>
    <col min="21" max="22" width="5.78125" style="3" customWidth="1"/>
    <col min="23" max="23" width="6.9921875" style="3" customWidth="1"/>
    <col min="24" max="24" width="14.125" style="3" customWidth="1"/>
    <col min="25" max="25" width="12.77734375" style="3" customWidth="1"/>
    <col min="26" max="26" width="8.7421875" style="3"/>
    <col min="27" max="27" width="29.32421875" style="3" bestFit="1" customWidth="1"/>
    <col min="28" max="28" width="11.97265625" style="3" bestFit="1" customWidth="1"/>
    <col min="29" max="16384" width="8.7421875" style="3"/>
  </cols>
  <sheetData>
    <row r="1" spans="1:29" s="1" customFormat="1" ht="93.6" customHeight="1" thickBot="1" x14ac:dyDescent="0.25">
      <c r="A1" s="30" t="s">
        <v>48</v>
      </c>
      <c r="B1" s="31"/>
      <c r="C1" s="31"/>
      <c r="D1" s="31"/>
      <c r="E1" s="31"/>
      <c r="F1" s="31"/>
      <c r="G1" s="31"/>
      <c r="H1" s="31"/>
      <c r="I1" s="32"/>
      <c r="J1" s="27" t="s">
        <v>49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  <c r="AA1" s="26"/>
      <c r="AB1" s="26"/>
    </row>
    <row r="2" spans="1:29" s="1" customFormat="1" ht="23.1" hidden="1" customHeight="1" x14ac:dyDescent="0.2">
      <c r="A2" s="8"/>
      <c r="B2" s="9"/>
      <c r="C2" s="9"/>
      <c r="D2" s="9"/>
      <c r="E2" s="9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0"/>
      <c r="S2" s="40"/>
      <c r="T2" s="40"/>
      <c r="U2" s="40"/>
      <c r="V2" s="40"/>
      <c r="W2" s="40"/>
      <c r="X2" s="40"/>
      <c r="Y2" s="40"/>
      <c r="AA2" s="33" t="s">
        <v>37</v>
      </c>
      <c r="AB2" s="34"/>
    </row>
    <row r="3" spans="1:29" ht="21" customHeight="1" x14ac:dyDescent="0.2">
      <c r="A3" s="35" t="s">
        <v>1</v>
      </c>
      <c r="B3" s="36"/>
      <c r="C3" s="37"/>
      <c r="D3" s="38" t="s">
        <v>9</v>
      </c>
      <c r="E3" s="38" t="s">
        <v>0</v>
      </c>
      <c r="F3" s="38" t="s">
        <v>15</v>
      </c>
      <c r="G3" s="6" t="s">
        <v>26</v>
      </c>
      <c r="H3" s="6" t="s">
        <v>27</v>
      </c>
      <c r="I3" s="6" t="s">
        <v>30</v>
      </c>
      <c r="J3" s="6" t="s">
        <v>31</v>
      </c>
      <c r="K3" s="7" t="s">
        <v>28</v>
      </c>
      <c r="L3" s="6" t="s">
        <v>29</v>
      </c>
      <c r="M3" s="7"/>
      <c r="N3" s="7"/>
      <c r="O3" s="7"/>
      <c r="P3" s="7"/>
      <c r="Q3" s="38" t="s">
        <v>32</v>
      </c>
      <c r="R3" s="38" t="s">
        <v>35</v>
      </c>
      <c r="S3" s="45" t="s">
        <v>10</v>
      </c>
      <c r="T3" s="24" t="s">
        <v>46</v>
      </c>
      <c r="U3" s="23" t="s">
        <v>47</v>
      </c>
      <c r="V3" s="23"/>
      <c r="W3" s="23"/>
      <c r="X3" s="43" t="s">
        <v>12</v>
      </c>
      <c r="Y3" s="42" t="s">
        <v>25</v>
      </c>
      <c r="AA3" s="17" t="s">
        <v>7</v>
      </c>
      <c r="AB3" s="18" t="s">
        <v>11</v>
      </c>
      <c r="AC3" s="4"/>
    </row>
    <row r="4" spans="1:29" ht="35.25" x14ac:dyDescent="0.15">
      <c r="A4" s="10" t="s">
        <v>4</v>
      </c>
      <c r="B4" s="10" t="s">
        <v>3</v>
      </c>
      <c r="C4" s="10" t="s">
        <v>2</v>
      </c>
      <c r="D4" s="39"/>
      <c r="E4" s="39"/>
      <c r="F4" s="39"/>
      <c r="G4" s="6" t="s">
        <v>43</v>
      </c>
      <c r="H4" s="6" t="s">
        <v>33</v>
      </c>
      <c r="I4" s="6" t="s">
        <v>39</v>
      </c>
      <c r="J4" s="6" t="s">
        <v>23</v>
      </c>
      <c r="K4" s="7" t="s">
        <v>34</v>
      </c>
      <c r="L4" s="6" t="s">
        <v>62</v>
      </c>
      <c r="M4" s="7"/>
      <c r="N4" s="7"/>
      <c r="O4" s="11"/>
      <c r="P4" s="11"/>
      <c r="Q4" s="44"/>
      <c r="R4" s="39"/>
      <c r="S4" s="45"/>
      <c r="T4" s="25"/>
      <c r="U4" s="10" t="s">
        <v>2</v>
      </c>
      <c r="V4" s="10" t="s">
        <v>3</v>
      </c>
      <c r="W4" s="10" t="s">
        <v>4</v>
      </c>
      <c r="X4" s="43"/>
      <c r="Y4" s="42"/>
      <c r="AA4" s="17" t="s">
        <v>52</v>
      </c>
      <c r="AB4" s="18" t="s">
        <v>41</v>
      </c>
      <c r="AC4" s="4"/>
    </row>
    <row r="5" spans="1:29" ht="14.25" x14ac:dyDescent="0.2">
      <c r="A5" s="12">
        <v>2024</v>
      </c>
      <c r="B5" s="12">
        <v>7</v>
      </c>
      <c r="C5" s="12">
        <v>12</v>
      </c>
      <c r="D5" s="12" t="s">
        <v>63</v>
      </c>
      <c r="E5" s="12">
        <v>7901</v>
      </c>
      <c r="F5" s="12" t="s">
        <v>16</v>
      </c>
      <c r="G5" s="12"/>
      <c r="H5" s="12">
        <v>250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3" t="s">
        <v>11</v>
      </c>
      <c r="T5" s="13"/>
      <c r="U5" s="13"/>
      <c r="V5" s="13"/>
      <c r="W5" s="13"/>
      <c r="X5" s="13"/>
      <c r="Y5" s="14">
        <f>SUM(G5:Q5)</f>
        <v>250</v>
      </c>
      <c r="AA5" s="17" t="s">
        <v>53</v>
      </c>
      <c r="AB5" s="18" t="s">
        <v>44</v>
      </c>
      <c r="AC5" s="4"/>
    </row>
    <row r="6" spans="1:29" ht="14.25" x14ac:dyDescent="0.2">
      <c r="A6" s="12">
        <v>2024</v>
      </c>
      <c r="B6" s="12">
        <v>7</v>
      </c>
      <c r="C6" s="12">
        <v>12</v>
      </c>
      <c r="D6" s="12" t="s">
        <v>63</v>
      </c>
      <c r="E6" s="12">
        <v>7902</v>
      </c>
      <c r="F6" s="12" t="s">
        <v>16</v>
      </c>
      <c r="G6" s="12"/>
      <c r="H6" s="12"/>
      <c r="I6" s="12">
        <v>20</v>
      </c>
      <c r="J6" s="12"/>
      <c r="K6" s="12"/>
      <c r="L6" s="12"/>
      <c r="M6" s="12"/>
      <c r="N6" s="12"/>
      <c r="O6" s="12"/>
      <c r="P6" s="12"/>
      <c r="Q6" s="12"/>
      <c r="R6" s="12"/>
      <c r="S6" s="13" t="s">
        <v>11</v>
      </c>
      <c r="T6" s="13"/>
      <c r="U6" s="13"/>
      <c r="V6" s="13"/>
      <c r="W6" s="13"/>
      <c r="X6" s="13"/>
      <c r="Y6" s="14">
        <f t="shared" ref="Y6:Y69" si="0">Y5+SUM(G6:Q6)</f>
        <v>270</v>
      </c>
      <c r="AA6" s="17" t="s">
        <v>60</v>
      </c>
      <c r="AB6" s="18" t="s">
        <v>45</v>
      </c>
      <c r="AC6" s="4"/>
    </row>
    <row r="7" spans="1:29" ht="14.25" x14ac:dyDescent="0.2">
      <c r="A7" s="12">
        <v>2024</v>
      </c>
      <c r="B7" s="12">
        <v>7</v>
      </c>
      <c r="C7" s="12">
        <v>12</v>
      </c>
      <c r="D7" s="12" t="s">
        <v>63</v>
      </c>
      <c r="E7" s="12">
        <v>7903</v>
      </c>
      <c r="F7" s="12" t="s">
        <v>16</v>
      </c>
      <c r="G7" s="12"/>
      <c r="H7" s="12">
        <v>150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3" t="s">
        <v>11</v>
      </c>
      <c r="T7" s="13"/>
      <c r="U7" s="13"/>
      <c r="V7" s="13"/>
      <c r="W7" s="13"/>
      <c r="X7" s="13"/>
      <c r="Y7" s="14">
        <f t="shared" si="0"/>
        <v>420</v>
      </c>
      <c r="AA7" s="17" t="s">
        <v>54</v>
      </c>
      <c r="AB7" s="18" t="s">
        <v>16</v>
      </c>
      <c r="AC7" s="4"/>
    </row>
    <row r="8" spans="1:29" ht="14.25" x14ac:dyDescent="0.2">
      <c r="A8" s="12">
        <v>2024</v>
      </c>
      <c r="B8" s="12">
        <v>7</v>
      </c>
      <c r="C8" s="12">
        <v>12</v>
      </c>
      <c r="D8" s="12" t="s">
        <v>63</v>
      </c>
      <c r="E8" s="12">
        <v>7904</v>
      </c>
      <c r="F8" s="12" t="s">
        <v>16</v>
      </c>
      <c r="G8" s="12"/>
      <c r="H8" s="12"/>
      <c r="I8" s="12">
        <v>150</v>
      </c>
      <c r="J8" s="12"/>
      <c r="K8" s="12"/>
      <c r="L8" s="12"/>
      <c r="M8" s="12"/>
      <c r="N8" s="12"/>
      <c r="O8" s="12"/>
      <c r="P8" s="12"/>
      <c r="Q8" s="12"/>
      <c r="R8" s="12"/>
      <c r="S8" s="13" t="s">
        <v>11</v>
      </c>
      <c r="T8" s="13"/>
      <c r="U8" s="13"/>
      <c r="V8" s="13"/>
      <c r="W8" s="13"/>
      <c r="X8" s="13"/>
      <c r="Y8" s="14">
        <f t="shared" si="0"/>
        <v>570</v>
      </c>
      <c r="AA8" s="17" t="s">
        <v>5</v>
      </c>
      <c r="AB8" s="18" t="s">
        <v>17</v>
      </c>
      <c r="AC8" s="4"/>
    </row>
    <row r="9" spans="1:29" ht="14.25" x14ac:dyDescent="0.2">
      <c r="A9" s="12">
        <v>2024</v>
      </c>
      <c r="B9" s="12">
        <v>7</v>
      </c>
      <c r="C9" s="12">
        <v>12</v>
      </c>
      <c r="D9" s="12" t="s">
        <v>63</v>
      </c>
      <c r="E9" s="12">
        <v>7905</v>
      </c>
      <c r="F9" s="12" t="s">
        <v>16</v>
      </c>
      <c r="G9" s="12"/>
      <c r="H9" s="12"/>
      <c r="I9" s="12">
        <v>100</v>
      </c>
      <c r="J9" s="12"/>
      <c r="K9" s="12"/>
      <c r="L9" s="12"/>
      <c r="M9" s="12"/>
      <c r="N9" s="12"/>
      <c r="O9" s="12"/>
      <c r="P9" s="12"/>
      <c r="Q9" s="12"/>
      <c r="R9" s="12"/>
      <c r="S9" s="13" t="s">
        <v>11</v>
      </c>
      <c r="T9" s="13"/>
      <c r="U9" s="13"/>
      <c r="V9" s="13"/>
      <c r="W9" s="13"/>
      <c r="X9" s="13"/>
      <c r="Y9" s="14">
        <f t="shared" si="0"/>
        <v>670</v>
      </c>
      <c r="AA9" s="17" t="s">
        <v>21</v>
      </c>
      <c r="AB9" s="18" t="s">
        <v>18</v>
      </c>
      <c r="AC9" s="4"/>
    </row>
    <row r="10" spans="1:29" ht="14.25" x14ac:dyDescent="0.2">
      <c r="A10" s="12">
        <v>2024</v>
      </c>
      <c r="B10" s="12">
        <v>7</v>
      </c>
      <c r="C10" s="12">
        <v>12</v>
      </c>
      <c r="D10" s="12" t="s">
        <v>63</v>
      </c>
      <c r="E10" s="12">
        <v>7906</v>
      </c>
      <c r="F10" s="12" t="s">
        <v>16</v>
      </c>
      <c r="G10" s="12"/>
      <c r="H10" s="12"/>
      <c r="I10" s="12">
        <v>100</v>
      </c>
      <c r="J10" s="12"/>
      <c r="K10" s="12"/>
      <c r="L10" s="12"/>
      <c r="M10" s="12"/>
      <c r="N10" s="12"/>
      <c r="O10" s="12"/>
      <c r="P10" s="12"/>
      <c r="Q10" s="12"/>
      <c r="R10" s="12"/>
      <c r="S10" s="13" t="s">
        <v>11</v>
      </c>
      <c r="T10" s="13"/>
      <c r="U10" s="13"/>
      <c r="V10" s="13"/>
      <c r="W10" s="13"/>
      <c r="X10" s="13"/>
      <c r="Y10" s="14">
        <f t="shared" si="0"/>
        <v>770</v>
      </c>
      <c r="AA10" s="17" t="s">
        <v>20</v>
      </c>
      <c r="AB10" s="19"/>
    </row>
    <row r="11" spans="1:29" ht="14.25" x14ac:dyDescent="0.2">
      <c r="A11" s="12">
        <v>2024</v>
      </c>
      <c r="B11" s="12">
        <v>7</v>
      </c>
      <c r="C11" s="12">
        <v>12</v>
      </c>
      <c r="D11" s="12" t="s">
        <v>63</v>
      </c>
      <c r="E11" s="12">
        <v>7907</v>
      </c>
      <c r="F11" s="12" t="s">
        <v>16</v>
      </c>
      <c r="G11" s="12">
        <v>900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 t="s">
        <v>11</v>
      </c>
      <c r="T11" s="13"/>
      <c r="U11" s="13"/>
      <c r="V11" s="13"/>
      <c r="W11" s="13"/>
      <c r="X11" s="13"/>
      <c r="Y11" s="14">
        <f t="shared" si="0"/>
        <v>1670</v>
      </c>
      <c r="AA11" s="17" t="s">
        <v>59</v>
      </c>
      <c r="AB11" s="19"/>
    </row>
    <row r="12" spans="1:29" ht="14.25" x14ac:dyDescent="0.2">
      <c r="A12" s="12">
        <v>2024</v>
      </c>
      <c r="B12" s="12">
        <v>7</v>
      </c>
      <c r="C12" s="12">
        <v>12</v>
      </c>
      <c r="D12" s="12" t="s">
        <v>63</v>
      </c>
      <c r="E12" s="12">
        <v>7908</v>
      </c>
      <c r="F12" s="12" t="s">
        <v>16</v>
      </c>
      <c r="G12" s="12"/>
      <c r="H12" s="12">
        <v>100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 t="s">
        <v>11</v>
      </c>
      <c r="T12" s="13"/>
      <c r="U12" s="13"/>
      <c r="V12" s="13"/>
      <c r="W12" s="13"/>
      <c r="X12" s="13"/>
      <c r="Y12" s="14">
        <f t="shared" si="0"/>
        <v>1770</v>
      </c>
      <c r="AA12" s="17" t="s">
        <v>61</v>
      </c>
      <c r="AB12" s="19"/>
    </row>
    <row r="13" spans="1:29" ht="14.25" x14ac:dyDescent="0.2">
      <c r="A13" s="12">
        <v>2024</v>
      </c>
      <c r="B13" s="12">
        <v>7</v>
      </c>
      <c r="C13" s="12">
        <v>12</v>
      </c>
      <c r="D13" s="12" t="s">
        <v>63</v>
      </c>
      <c r="E13" s="12">
        <v>7909</v>
      </c>
      <c r="F13" s="12" t="s">
        <v>16</v>
      </c>
      <c r="G13" s="12"/>
      <c r="H13" s="12">
        <v>100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 t="s">
        <v>11</v>
      </c>
      <c r="T13" s="13"/>
      <c r="U13" s="13"/>
      <c r="V13" s="13"/>
      <c r="W13" s="13"/>
      <c r="X13" s="13"/>
      <c r="Y13" s="14">
        <f t="shared" si="0"/>
        <v>1870</v>
      </c>
      <c r="AA13" s="17" t="s">
        <v>19</v>
      </c>
      <c r="AB13" s="19"/>
    </row>
    <row r="14" spans="1:29" ht="14.25" x14ac:dyDescent="0.2">
      <c r="A14" s="12">
        <v>2024</v>
      </c>
      <c r="B14" s="12">
        <v>7</v>
      </c>
      <c r="C14" s="12">
        <v>12</v>
      </c>
      <c r="D14" s="12" t="s">
        <v>63</v>
      </c>
      <c r="E14" s="12">
        <v>7910</v>
      </c>
      <c r="F14" s="12" t="s">
        <v>16</v>
      </c>
      <c r="G14" s="12"/>
      <c r="H14" s="12"/>
      <c r="I14" s="12">
        <v>100</v>
      </c>
      <c r="J14" s="12"/>
      <c r="K14" s="12"/>
      <c r="L14" s="12"/>
      <c r="M14" s="12"/>
      <c r="N14" s="12"/>
      <c r="O14" s="12"/>
      <c r="P14" s="12"/>
      <c r="Q14" s="12"/>
      <c r="R14" s="12"/>
      <c r="S14" s="13" t="s">
        <v>11</v>
      </c>
      <c r="T14" s="13"/>
      <c r="U14" s="13"/>
      <c r="V14" s="13"/>
      <c r="W14" s="13"/>
      <c r="X14" s="13"/>
      <c r="Y14" s="14">
        <f t="shared" si="0"/>
        <v>1970</v>
      </c>
      <c r="AA14" s="17" t="s">
        <v>38</v>
      </c>
      <c r="AB14" s="20"/>
    </row>
    <row r="15" spans="1:29" ht="14.25" x14ac:dyDescent="0.2">
      <c r="A15" s="12">
        <v>2024</v>
      </c>
      <c r="B15" s="12">
        <v>7</v>
      </c>
      <c r="C15" s="12">
        <v>12</v>
      </c>
      <c r="D15" s="12" t="s">
        <v>63</v>
      </c>
      <c r="E15" s="12">
        <v>7911</v>
      </c>
      <c r="F15" s="12" t="s">
        <v>16</v>
      </c>
      <c r="G15" s="12"/>
      <c r="H15" s="12"/>
      <c r="I15" s="12">
        <v>100</v>
      </c>
      <c r="J15" s="12"/>
      <c r="K15" s="12"/>
      <c r="L15" s="12"/>
      <c r="M15" s="12"/>
      <c r="N15" s="12"/>
      <c r="O15" s="12"/>
      <c r="P15" s="12"/>
      <c r="Q15" s="12"/>
      <c r="R15" s="12"/>
      <c r="S15" s="13" t="s">
        <v>11</v>
      </c>
      <c r="T15" s="13"/>
      <c r="U15" s="13"/>
      <c r="V15" s="13"/>
      <c r="W15" s="13"/>
      <c r="X15" s="13"/>
      <c r="Y15" s="14">
        <f t="shared" si="0"/>
        <v>2070</v>
      </c>
      <c r="AA15" s="17" t="s">
        <v>42</v>
      </c>
      <c r="AB15" s="20"/>
    </row>
    <row r="16" spans="1:29" ht="15" thickBot="1" x14ac:dyDescent="0.25">
      <c r="A16" s="12">
        <v>2024</v>
      </c>
      <c r="B16" s="12">
        <v>7</v>
      </c>
      <c r="C16" s="12">
        <v>12</v>
      </c>
      <c r="D16" s="12" t="s">
        <v>63</v>
      </c>
      <c r="E16" s="12">
        <v>7912</v>
      </c>
      <c r="F16" s="12" t="s">
        <v>16</v>
      </c>
      <c r="G16" s="12"/>
      <c r="H16" s="12"/>
      <c r="I16" s="12">
        <v>50</v>
      </c>
      <c r="J16" s="12"/>
      <c r="K16" s="12"/>
      <c r="L16" s="12"/>
      <c r="M16" s="12"/>
      <c r="N16" s="12"/>
      <c r="O16" s="12"/>
      <c r="P16" s="12"/>
      <c r="Q16" s="12"/>
      <c r="R16" s="12"/>
      <c r="S16" s="13" t="s">
        <v>11</v>
      </c>
      <c r="T16" s="13"/>
      <c r="U16" s="13"/>
      <c r="V16" s="13"/>
      <c r="W16" s="13"/>
      <c r="X16" s="13"/>
      <c r="Y16" s="14">
        <f t="shared" si="0"/>
        <v>2120</v>
      </c>
      <c r="AA16" s="17" t="s">
        <v>8</v>
      </c>
      <c r="AB16" s="21"/>
    </row>
    <row r="17" spans="1:28" ht="14.25" x14ac:dyDescent="0.2">
      <c r="A17" s="12">
        <v>2024</v>
      </c>
      <c r="B17" s="12">
        <v>7</v>
      </c>
      <c r="C17" s="12">
        <v>12</v>
      </c>
      <c r="D17" s="12" t="s">
        <v>63</v>
      </c>
      <c r="E17" s="12">
        <v>7913</v>
      </c>
      <c r="F17" s="12" t="s">
        <v>16</v>
      </c>
      <c r="G17" s="12"/>
      <c r="H17" s="12">
        <v>150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 t="s">
        <v>11</v>
      </c>
      <c r="T17" s="13"/>
      <c r="U17" s="13"/>
      <c r="V17" s="13"/>
      <c r="W17" s="13"/>
      <c r="X17" s="13"/>
      <c r="Y17" s="14">
        <f t="shared" si="0"/>
        <v>2270</v>
      </c>
      <c r="AA17" s="17" t="s">
        <v>50</v>
      </c>
      <c r="AB17" s="22"/>
    </row>
    <row r="18" spans="1:28" ht="14.25" x14ac:dyDescent="0.2">
      <c r="A18" s="12">
        <v>2024</v>
      </c>
      <c r="B18" s="12">
        <v>7</v>
      </c>
      <c r="C18" s="12">
        <v>12</v>
      </c>
      <c r="D18" s="12" t="s">
        <v>63</v>
      </c>
      <c r="E18" s="12">
        <v>7914</v>
      </c>
      <c r="F18" s="12" t="s">
        <v>16</v>
      </c>
      <c r="G18" s="12"/>
      <c r="H18" s="12">
        <v>650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3" t="s">
        <v>11</v>
      </c>
      <c r="T18" s="13"/>
      <c r="U18" s="13"/>
      <c r="V18" s="13"/>
      <c r="W18" s="13"/>
      <c r="X18" s="13"/>
      <c r="Y18" s="14">
        <f t="shared" si="0"/>
        <v>2920</v>
      </c>
      <c r="AA18" s="17" t="s">
        <v>55</v>
      </c>
      <c r="AB18" s="22"/>
    </row>
    <row r="19" spans="1:28" ht="14.25" x14ac:dyDescent="0.2">
      <c r="A19" s="12">
        <v>2024</v>
      </c>
      <c r="B19" s="12">
        <v>7</v>
      </c>
      <c r="C19" s="12">
        <v>12</v>
      </c>
      <c r="D19" s="12" t="s">
        <v>63</v>
      </c>
      <c r="E19" s="12">
        <v>7915</v>
      </c>
      <c r="F19" s="12" t="s">
        <v>16</v>
      </c>
      <c r="G19" s="12"/>
      <c r="H19" s="12"/>
      <c r="I19" s="12">
        <v>50</v>
      </c>
      <c r="J19" s="12"/>
      <c r="K19" s="12"/>
      <c r="L19" s="12"/>
      <c r="M19" s="12"/>
      <c r="N19" s="12"/>
      <c r="O19" s="12"/>
      <c r="P19" s="12"/>
      <c r="Q19" s="12"/>
      <c r="R19" s="12"/>
      <c r="S19" s="13" t="s">
        <v>11</v>
      </c>
      <c r="T19" s="13"/>
      <c r="U19" s="13"/>
      <c r="V19" s="13"/>
      <c r="W19" s="13"/>
      <c r="X19" s="13"/>
      <c r="Y19" s="14">
        <f t="shared" si="0"/>
        <v>2970</v>
      </c>
      <c r="AA19" s="17" t="s">
        <v>14</v>
      </c>
      <c r="AB19" s="22"/>
    </row>
    <row r="20" spans="1:28" ht="14.25" x14ac:dyDescent="0.2">
      <c r="A20" s="12">
        <v>2024</v>
      </c>
      <c r="B20" s="12">
        <v>7</v>
      </c>
      <c r="C20" s="12">
        <v>12</v>
      </c>
      <c r="D20" s="12" t="s">
        <v>63</v>
      </c>
      <c r="E20" s="12">
        <v>7916</v>
      </c>
      <c r="F20" s="12" t="s">
        <v>16</v>
      </c>
      <c r="G20" s="12"/>
      <c r="H20" s="12"/>
      <c r="I20" s="12">
        <v>50</v>
      </c>
      <c r="J20" s="12"/>
      <c r="K20" s="12"/>
      <c r="L20" s="12"/>
      <c r="M20" s="12"/>
      <c r="N20" s="12"/>
      <c r="O20" s="12"/>
      <c r="P20" s="12"/>
      <c r="Q20" s="12"/>
      <c r="R20" s="12"/>
      <c r="S20" s="13" t="s">
        <v>11</v>
      </c>
      <c r="T20" s="13"/>
      <c r="U20" s="13"/>
      <c r="V20" s="13"/>
      <c r="W20" s="13"/>
      <c r="X20" s="13"/>
      <c r="Y20" s="14">
        <f t="shared" si="0"/>
        <v>3020</v>
      </c>
      <c r="AA20" s="17" t="s">
        <v>56</v>
      </c>
      <c r="AB20" s="22"/>
    </row>
    <row r="21" spans="1:28" ht="14.25" x14ac:dyDescent="0.2">
      <c r="A21" s="12">
        <v>2024</v>
      </c>
      <c r="B21" s="12">
        <v>7</v>
      </c>
      <c r="C21" s="12">
        <v>12</v>
      </c>
      <c r="D21" s="12" t="s">
        <v>63</v>
      </c>
      <c r="E21" s="12">
        <v>7917</v>
      </c>
      <c r="F21" s="12" t="s">
        <v>16</v>
      </c>
      <c r="G21" s="12"/>
      <c r="H21" s="12"/>
      <c r="I21" s="12"/>
      <c r="J21" s="12"/>
      <c r="K21" s="12"/>
      <c r="L21" s="12">
        <v>3000</v>
      </c>
      <c r="M21" s="12"/>
      <c r="N21" s="12"/>
      <c r="O21" s="12"/>
      <c r="P21" s="12"/>
      <c r="Q21" s="12"/>
      <c r="R21" s="12"/>
      <c r="S21" s="13" t="s">
        <v>11</v>
      </c>
      <c r="T21" s="13"/>
      <c r="U21" s="13"/>
      <c r="V21" s="13"/>
      <c r="W21" s="13"/>
      <c r="X21" s="13"/>
      <c r="Y21" s="14">
        <f t="shared" si="0"/>
        <v>6020</v>
      </c>
      <c r="AA21" s="17" t="s">
        <v>57</v>
      </c>
      <c r="AB21" s="22"/>
    </row>
    <row r="22" spans="1:28" ht="14.25" x14ac:dyDescent="0.2">
      <c r="A22" s="12">
        <v>2024</v>
      </c>
      <c r="B22" s="12">
        <v>7</v>
      </c>
      <c r="C22" s="12">
        <v>12</v>
      </c>
      <c r="D22" s="12" t="s">
        <v>63</v>
      </c>
      <c r="E22" s="12">
        <v>7918</v>
      </c>
      <c r="F22" s="12" t="s">
        <v>16</v>
      </c>
      <c r="G22" s="12"/>
      <c r="H22" s="12"/>
      <c r="I22" s="12">
        <v>500</v>
      </c>
      <c r="J22" s="12"/>
      <c r="K22" s="12"/>
      <c r="L22" s="12"/>
      <c r="M22" s="12"/>
      <c r="N22" s="12"/>
      <c r="O22" s="12"/>
      <c r="P22" s="12"/>
      <c r="Q22" s="12"/>
      <c r="R22" s="12"/>
      <c r="S22" s="13" t="s">
        <v>11</v>
      </c>
      <c r="T22" s="13"/>
      <c r="U22" s="13"/>
      <c r="V22" s="13"/>
      <c r="W22" s="13"/>
      <c r="X22" s="13"/>
      <c r="Y22" s="14">
        <f t="shared" si="0"/>
        <v>6520</v>
      </c>
      <c r="AA22" s="17" t="s">
        <v>40</v>
      </c>
      <c r="AB22" s="22"/>
    </row>
    <row r="23" spans="1:28" ht="14.25" x14ac:dyDescent="0.2">
      <c r="A23" s="12">
        <v>2024</v>
      </c>
      <c r="B23" s="12">
        <v>7</v>
      </c>
      <c r="C23" s="12">
        <v>12</v>
      </c>
      <c r="D23" s="12" t="s">
        <v>63</v>
      </c>
      <c r="E23" s="12">
        <v>7919</v>
      </c>
      <c r="F23" s="12" t="s">
        <v>16</v>
      </c>
      <c r="G23" s="12">
        <v>100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 t="s">
        <v>11</v>
      </c>
      <c r="T23" s="13"/>
      <c r="U23" s="13"/>
      <c r="V23" s="13"/>
      <c r="W23" s="13"/>
      <c r="X23" s="13"/>
      <c r="Y23" s="14">
        <f t="shared" si="0"/>
        <v>6620</v>
      </c>
      <c r="AA23" s="17" t="s">
        <v>36</v>
      </c>
      <c r="AB23" s="22"/>
    </row>
    <row r="24" spans="1:28" ht="14.25" x14ac:dyDescent="0.2">
      <c r="A24" s="12">
        <v>2024</v>
      </c>
      <c r="B24" s="12">
        <v>7</v>
      </c>
      <c r="C24" s="12">
        <v>12</v>
      </c>
      <c r="D24" s="12" t="s">
        <v>63</v>
      </c>
      <c r="E24" s="12">
        <v>7920</v>
      </c>
      <c r="F24" s="12" t="s">
        <v>16</v>
      </c>
      <c r="G24" s="12">
        <v>100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 t="s">
        <v>11</v>
      </c>
      <c r="T24" s="13"/>
      <c r="U24" s="13"/>
      <c r="V24" s="13"/>
      <c r="W24" s="13"/>
      <c r="X24" s="13"/>
      <c r="Y24" s="14">
        <f t="shared" si="0"/>
        <v>6720</v>
      </c>
      <c r="AA24" s="17" t="s">
        <v>58</v>
      </c>
      <c r="AB24" s="22"/>
    </row>
    <row r="25" spans="1:28" ht="14.25" x14ac:dyDescent="0.2">
      <c r="A25" s="12">
        <v>2024</v>
      </c>
      <c r="B25" s="12">
        <v>7</v>
      </c>
      <c r="C25" s="12">
        <v>12</v>
      </c>
      <c r="D25" s="12" t="s">
        <v>63</v>
      </c>
      <c r="E25" s="12">
        <v>7921</v>
      </c>
      <c r="F25" s="12" t="s">
        <v>16</v>
      </c>
      <c r="G25" s="12"/>
      <c r="H25" s="12"/>
      <c r="I25" s="12">
        <v>100</v>
      </c>
      <c r="J25" s="12"/>
      <c r="K25" s="12"/>
      <c r="L25" s="12"/>
      <c r="M25" s="12"/>
      <c r="N25" s="12"/>
      <c r="O25" s="12"/>
      <c r="P25" s="12"/>
      <c r="Q25" s="12"/>
      <c r="R25" s="12"/>
      <c r="S25" s="13" t="s">
        <v>11</v>
      </c>
      <c r="T25" s="13"/>
      <c r="U25" s="13"/>
      <c r="V25" s="13"/>
      <c r="W25" s="13"/>
      <c r="X25" s="13"/>
      <c r="Y25" s="14">
        <f t="shared" si="0"/>
        <v>6820</v>
      </c>
      <c r="AA25" s="17" t="s">
        <v>51</v>
      </c>
    </row>
    <row r="26" spans="1:28" ht="14.25" x14ac:dyDescent="0.2">
      <c r="A26" s="12">
        <v>2024</v>
      </c>
      <c r="B26" s="12">
        <v>7</v>
      </c>
      <c r="C26" s="12">
        <v>12</v>
      </c>
      <c r="D26" s="12" t="s">
        <v>63</v>
      </c>
      <c r="E26" s="12">
        <v>7922</v>
      </c>
      <c r="F26" s="12" t="s">
        <v>16</v>
      </c>
      <c r="G26" s="12"/>
      <c r="H26" s="12"/>
      <c r="I26" s="12">
        <v>100</v>
      </c>
      <c r="J26" s="12"/>
      <c r="K26" s="12"/>
      <c r="L26" s="12"/>
      <c r="M26" s="12"/>
      <c r="N26" s="12"/>
      <c r="O26" s="12"/>
      <c r="P26" s="12"/>
      <c r="Q26" s="12"/>
      <c r="R26" s="12"/>
      <c r="S26" s="13" t="s">
        <v>11</v>
      </c>
      <c r="T26" s="13"/>
      <c r="U26" s="13"/>
      <c r="V26" s="13"/>
      <c r="W26" s="13"/>
      <c r="X26" s="13"/>
      <c r="Y26" s="14">
        <f t="shared" si="0"/>
        <v>6920</v>
      </c>
      <c r="AA26" s="17" t="s">
        <v>13</v>
      </c>
    </row>
    <row r="27" spans="1:28" ht="14.25" x14ac:dyDescent="0.2">
      <c r="A27" s="12">
        <v>2024</v>
      </c>
      <c r="B27" s="12">
        <v>7</v>
      </c>
      <c r="C27" s="12">
        <v>12</v>
      </c>
      <c r="D27" s="12" t="s">
        <v>63</v>
      </c>
      <c r="E27" s="12">
        <v>7923</v>
      </c>
      <c r="F27" s="12" t="s">
        <v>16</v>
      </c>
      <c r="G27" s="12"/>
      <c r="H27" s="12"/>
      <c r="I27" s="12">
        <v>100</v>
      </c>
      <c r="J27" s="12"/>
      <c r="K27" s="12"/>
      <c r="L27" s="12"/>
      <c r="M27" s="12"/>
      <c r="N27" s="12"/>
      <c r="O27" s="12"/>
      <c r="P27" s="12"/>
      <c r="Q27" s="12"/>
      <c r="R27" s="12"/>
      <c r="S27" s="13" t="s">
        <v>11</v>
      </c>
      <c r="T27" s="13"/>
      <c r="U27" s="13"/>
      <c r="V27" s="13"/>
      <c r="W27" s="13"/>
      <c r="X27" s="13"/>
      <c r="Y27" s="14">
        <f t="shared" si="0"/>
        <v>7020</v>
      </c>
      <c r="AA27" s="17" t="s">
        <v>6</v>
      </c>
    </row>
    <row r="28" spans="1:28" ht="14.25" x14ac:dyDescent="0.2">
      <c r="A28" s="12">
        <v>2024</v>
      </c>
      <c r="B28" s="12">
        <v>7</v>
      </c>
      <c r="C28" s="12">
        <v>12</v>
      </c>
      <c r="D28" s="12" t="s">
        <v>63</v>
      </c>
      <c r="E28" s="12">
        <v>7924</v>
      </c>
      <c r="F28" s="12" t="s">
        <v>16</v>
      </c>
      <c r="G28" s="12">
        <v>100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 t="s">
        <v>11</v>
      </c>
      <c r="T28" s="13"/>
      <c r="U28" s="13"/>
      <c r="V28" s="13"/>
      <c r="W28" s="13"/>
      <c r="X28" s="13"/>
      <c r="Y28" s="14">
        <f t="shared" si="0"/>
        <v>7120</v>
      </c>
      <c r="AA28" s="17" t="s">
        <v>24</v>
      </c>
    </row>
    <row r="29" spans="1:28" ht="14.25" x14ac:dyDescent="0.2">
      <c r="A29" s="12">
        <v>2024</v>
      </c>
      <c r="B29" s="12">
        <v>7</v>
      </c>
      <c r="C29" s="12">
        <v>12</v>
      </c>
      <c r="D29" s="12" t="s">
        <v>63</v>
      </c>
      <c r="E29" s="12">
        <v>7925</v>
      </c>
      <c r="F29" s="12" t="s">
        <v>16</v>
      </c>
      <c r="G29" s="12"/>
      <c r="H29" s="12">
        <v>200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 t="s">
        <v>11</v>
      </c>
      <c r="T29" s="13"/>
      <c r="U29" s="13"/>
      <c r="V29" s="13"/>
      <c r="W29" s="13"/>
      <c r="X29" s="13"/>
      <c r="Y29" s="14">
        <f t="shared" si="0"/>
        <v>7320</v>
      </c>
      <c r="AA29" s="17" t="s">
        <v>22</v>
      </c>
    </row>
    <row r="30" spans="1:28" ht="14.25" x14ac:dyDescent="0.2">
      <c r="A30" s="12">
        <v>2024</v>
      </c>
      <c r="B30" s="12">
        <v>7</v>
      </c>
      <c r="C30" s="12">
        <v>12</v>
      </c>
      <c r="D30" s="12" t="s">
        <v>63</v>
      </c>
      <c r="E30" s="12">
        <v>7926</v>
      </c>
      <c r="F30" s="12" t="s">
        <v>16</v>
      </c>
      <c r="G30" s="12"/>
      <c r="H30" s="12">
        <v>100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3" t="s">
        <v>11</v>
      </c>
      <c r="T30" s="13"/>
      <c r="U30" s="13"/>
      <c r="V30" s="13"/>
      <c r="W30" s="13"/>
      <c r="X30" s="13"/>
      <c r="Y30" s="14">
        <f t="shared" si="0"/>
        <v>7420</v>
      </c>
      <c r="AA30" s="17"/>
    </row>
    <row r="31" spans="1:28" ht="14.25" x14ac:dyDescent="0.2">
      <c r="A31" s="12">
        <v>2024</v>
      </c>
      <c r="B31" s="12">
        <v>7</v>
      </c>
      <c r="C31" s="12">
        <v>12</v>
      </c>
      <c r="D31" s="12" t="s">
        <v>63</v>
      </c>
      <c r="E31" s="12">
        <v>7927</v>
      </c>
      <c r="F31" s="12" t="s">
        <v>16</v>
      </c>
      <c r="G31" s="12"/>
      <c r="H31" s="12">
        <v>100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3" t="s">
        <v>11</v>
      </c>
      <c r="T31" s="13"/>
      <c r="U31" s="13"/>
      <c r="V31" s="13"/>
      <c r="W31" s="13"/>
      <c r="X31" s="13"/>
      <c r="Y31" s="14">
        <f t="shared" si="0"/>
        <v>7520</v>
      </c>
      <c r="AA31" s="5"/>
    </row>
    <row r="32" spans="1:28" ht="14.25" x14ac:dyDescent="0.2">
      <c r="A32" s="12">
        <v>2024</v>
      </c>
      <c r="B32" s="12">
        <v>7</v>
      </c>
      <c r="C32" s="12">
        <v>12</v>
      </c>
      <c r="D32" s="12" t="s">
        <v>63</v>
      </c>
      <c r="E32" s="12">
        <v>7928</v>
      </c>
      <c r="F32" s="12" t="s">
        <v>16</v>
      </c>
      <c r="G32" s="12"/>
      <c r="H32" s="12">
        <v>100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3" t="s">
        <v>11</v>
      </c>
      <c r="T32" s="13"/>
      <c r="U32" s="13"/>
      <c r="V32" s="13"/>
      <c r="W32" s="13"/>
      <c r="X32" s="13"/>
      <c r="Y32" s="14">
        <f t="shared" si="0"/>
        <v>7620</v>
      </c>
      <c r="AA32" s="5"/>
    </row>
    <row r="33" spans="1:27" ht="14.25" x14ac:dyDescent="0.2">
      <c r="A33" s="12">
        <v>2024</v>
      </c>
      <c r="B33" s="12">
        <v>7</v>
      </c>
      <c r="C33" s="12">
        <v>12</v>
      </c>
      <c r="D33" s="12" t="s">
        <v>63</v>
      </c>
      <c r="E33" s="12">
        <v>7929</v>
      </c>
      <c r="F33" s="12" t="s">
        <v>16</v>
      </c>
      <c r="G33" s="12"/>
      <c r="H33" s="12">
        <v>1000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 t="s">
        <v>11</v>
      </c>
      <c r="T33" s="13"/>
      <c r="U33" s="13"/>
      <c r="V33" s="13"/>
      <c r="W33" s="13"/>
      <c r="X33" s="13"/>
      <c r="Y33" s="14">
        <f t="shared" si="0"/>
        <v>8620</v>
      </c>
      <c r="AA33" s="5"/>
    </row>
    <row r="34" spans="1:27" ht="14.25" x14ac:dyDescent="0.2">
      <c r="A34" s="12">
        <v>2024</v>
      </c>
      <c r="B34" s="12">
        <v>7</v>
      </c>
      <c r="C34" s="12">
        <v>12</v>
      </c>
      <c r="D34" s="12" t="s">
        <v>63</v>
      </c>
      <c r="E34" s="12">
        <v>7930</v>
      </c>
      <c r="F34" s="12" t="s">
        <v>16</v>
      </c>
      <c r="G34" s="12"/>
      <c r="H34" s="12"/>
      <c r="I34" s="12">
        <v>50</v>
      </c>
      <c r="J34" s="12"/>
      <c r="K34" s="12"/>
      <c r="L34" s="12"/>
      <c r="M34" s="12"/>
      <c r="N34" s="12"/>
      <c r="O34" s="12"/>
      <c r="P34" s="12"/>
      <c r="Q34" s="12"/>
      <c r="R34" s="12"/>
      <c r="S34" s="13" t="s">
        <v>11</v>
      </c>
      <c r="T34" s="13"/>
      <c r="U34" s="13"/>
      <c r="V34" s="13"/>
      <c r="W34" s="13"/>
      <c r="X34" s="13"/>
      <c r="Y34" s="14">
        <f t="shared" si="0"/>
        <v>8670</v>
      </c>
      <c r="AA34" s="5"/>
    </row>
    <row r="35" spans="1:27" ht="14.25" x14ac:dyDescent="0.2">
      <c r="A35" s="12">
        <v>2024</v>
      </c>
      <c r="B35" s="12">
        <v>7</v>
      </c>
      <c r="C35" s="12">
        <v>12</v>
      </c>
      <c r="D35" s="12" t="s">
        <v>63</v>
      </c>
      <c r="E35" s="12">
        <v>7931</v>
      </c>
      <c r="F35" s="12" t="s">
        <v>16</v>
      </c>
      <c r="G35" s="12"/>
      <c r="H35" s="12"/>
      <c r="I35" s="12"/>
      <c r="J35" s="12"/>
      <c r="K35" s="12"/>
      <c r="L35" s="12">
        <v>100</v>
      </c>
      <c r="M35" s="12"/>
      <c r="N35" s="12"/>
      <c r="O35" s="12"/>
      <c r="P35" s="12"/>
      <c r="Q35" s="12"/>
      <c r="R35" s="12"/>
      <c r="S35" s="13" t="s">
        <v>11</v>
      </c>
      <c r="T35" s="13"/>
      <c r="U35" s="13"/>
      <c r="V35" s="13"/>
      <c r="W35" s="13"/>
      <c r="X35" s="13"/>
      <c r="Y35" s="14">
        <f t="shared" si="0"/>
        <v>8770</v>
      </c>
      <c r="AA35" s="5"/>
    </row>
    <row r="36" spans="1:27" ht="14.25" x14ac:dyDescent="0.2">
      <c r="A36" s="12">
        <v>2024</v>
      </c>
      <c r="B36" s="12">
        <v>7</v>
      </c>
      <c r="C36" s="12">
        <v>12</v>
      </c>
      <c r="D36" s="12" t="s">
        <v>63</v>
      </c>
      <c r="E36" s="12">
        <v>7932</v>
      </c>
      <c r="F36" s="12" t="s">
        <v>16</v>
      </c>
      <c r="G36" s="12">
        <v>4660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 t="s">
        <v>11</v>
      </c>
      <c r="T36" s="13"/>
      <c r="U36" s="13"/>
      <c r="V36" s="13"/>
      <c r="W36" s="13"/>
      <c r="X36" s="13"/>
      <c r="Y36" s="14">
        <f t="shared" si="0"/>
        <v>13430</v>
      </c>
    </row>
    <row r="37" spans="1:27" ht="14.25" x14ac:dyDescent="0.2">
      <c r="A37" s="12">
        <v>2024</v>
      </c>
      <c r="B37" s="12">
        <v>7</v>
      </c>
      <c r="C37" s="12">
        <v>12</v>
      </c>
      <c r="D37" s="12" t="s">
        <v>63</v>
      </c>
      <c r="E37" s="12">
        <v>7933</v>
      </c>
      <c r="F37" s="12" t="s">
        <v>16</v>
      </c>
      <c r="G37" s="12">
        <v>350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 t="s">
        <v>11</v>
      </c>
      <c r="T37" s="13"/>
      <c r="U37" s="13"/>
      <c r="V37" s="13"/>
      <c r="W37" s="13"/>
      <c r="X37" s="13"/>
      <c r="Y37" s="14">
        <f t="shared" si="0"/>
        <v>13780</v>
      </c>
    </row>
    <row r="38" spans="1:27" ht="14.25" x14ac:dyDescent="0.2">
      <c r="A38" s="12">
        <v>2024</v>
      </c>
      <c r="B38" s="12">
        <v>7</v>
      </c>
      <c r="C38" s="12">
        <v>12</v>
      </c>
      <c r="D38" s="12" t="s">
        <v>63</v>
      </c>
      <c r="E38" s="12">
        <v>7934</v>
      </c>
      <c r="F38" s="12" t="s">
        <v>16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 t="s">
        <v>11</v>
      </c>
      <c r="T38" s="13"/>
      <c r="U38" s="13"/>
      <c r="V38" s="13"/>
      <c r="W38" s="13"/>
      <c r="X38" s="13"/>
      <c r="Y38" s="14">
        <f t="shared" si="0"/>
        <v>13780</v>
      </c>
    </row>
    <row r="39" spans="1:27" ht="14.25" x14ac:dyDescent="0.2">
      <c r="A39" s="12">
        <v>2024</v>
      </c>
      <c r="B39" s="12">
        <v>7</v>
      </c>
      <c r="C39" s="12"/>
      <c r="D39" s="12" t="s">
        <v>63</v>
      </c>
      <c r="E39" s="12">
        <v>7935</v>
      </c>
      <c r="F39" s="12" t="s">
        <v>16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 t="s">
        <v>11</v>
      </c>
      <c r="T39" s="13"/>
      <c r="U39" s="13"/>
      <c r="V39" s="13"/>
      <c r="W39" s="13"/>
      <c r="X39" s="13"/>
      <c r="Y39" s="14">
        <f t="shared" si="0"/>
        <v>13780</v>
      </c>
    </row>
    <row r="40" spans="1:27" ht="14.25" x14ac:dyDescent="0.2">
      <c r="A40" s="12">
        <v>2024</v>
      </c>
      <c r="B40" s="12">
        <v>7</v>
      </c>
      <c r="C40" s="12"/>
      <c r="D40" s="12" t="s">
        <v>63</v>
      </c>
      <c r="E40" s="12">
        <v>7936</v>
      </c>
      <c r="F40" s="12" t="s">
        <v>16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 t="s">
        <v>11</v>
      </c>
      <c r="T40" s="13"/>
      <c r="U40" s="13"/>
      <c r="V40" s="13"/>
      <c r="W40" s="13"/>
      <c r="X40" s="13"/>
      <c r="Y40" s="14">
        <f t="shared" si="0"/>
        <v>13780</v>
      </c>
    </row>
    <row r="41" spans="1:27" ht="14.25" x14ac:dyDescent="0.2">
      <c r="A41" s="12">
        <v>2024</v>
      </c>
      <c r="B41" s="12">
        <v>7</v>
      </c>
      <c r="C41" s="12"/>
      <c r="D41" s="12" t="s">
        <v>63</v>
      </c>
      <c r="E41" s="12">
        <v>7937</v>
      </c>
      <c r="F41" s="12" t="s">
        <v>16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 t="s">
        <v>11</v>
      </c>
      <c r="T41" s="13"/>
      <c r="U41" s="13"/>
      <c r="V41" s="13"/>
      <c r="W41" s="13"/>
      <c r="X41" s="13"/>
      <c r="Y41" s="14">
        <f t="shared" si="0"/>
        <v>13780</v>
      </c>
    </row>
    <row r="42" spans="1:27" ht="14.25" x14ac:dyDescent="0.2">
      <c r="A42" s="12">
        <v>2024</v>
      </c>
      <c r="B42" s="12">
        <v>7</v>
      </c>
      <c r="C42" s="12"/>
      <c r="D42" s="12" t="s">
        <v>63</v>
      </c>
      <c r="E42" s="12">
        <v>7938</v>
      </c>
      <c r="F42" s="12" t="s">
        <v>16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 t="s">
        <v>11</v>
      </c>
      <c r="T42" s="13"/>
      <c r="U42" s="13"/>
      <c r="V42" s="13"/>
      <c r="W42" s="13"/>
      <c r="X42" s="13"/>
      <c r="Y42" s="14">
        <f t="shared" si="0"/>
        <v>13780</v>
      </c>
    </row>
    <row r="43" spans="1:27" ht="14.25" x14ac:dyDescent="0.2">
      <c r="A43" s="12">
        <v>2024</v>
      </c>
      <c r="B43" s="12">
        <v>7</v>
      </c>
      <c r="C43" s="12"/>
      <c r="D43" s="12" t="s">
        <v>63</v>
      </c>
      <c r="E43" s="12">
        <v>7939</v>
      </c>
      <c r="F43" s="12" t="s">
        <v>16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 t="s">
        <v>11</v>
      </c>
      <c r="T43" s="13"/>
      <c r="U43" s="13"/>
      <c r="V43" s="13"/>
      <c r="W43" s="13"/>
      <c r="X43" s="13"/>
      <c r="Y43" s="14">
        <f t="shared" si="0"/>
        <v>13780</v>
      </c>
    </row>
    <row r="44" spans="1:27" ht="14.25" x14ac:dyDescent="0.2">
      <c r="A44" s="12">
        <v>2024</v>
      </c>
      <c r="B44" s="12">
        <v>7</v>
      </c>
      <c r="C44" s="12"/>
      <c r="D44" s="12" t="s">
        <v>63</v>
      </c>
      <c r="E44" s="12">
        <v>7940</v>
      </c>
      <c r="F44" s="12" t="s">
        <v>16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 t="s">
        <v>11</v>
      </c>
      <c r="T44" s="13"/>
      <c r="U44" s="13"/>
      <c r="V44" s="13"/>
      <c r="W44" s="13"/>
      <c r="X44" s="13"/>
      <c r="Y44" s="14">
        <f t="shared" si="0"/>
        <v>13780</v>
      </c>
    </row>
    <row r="45" spans="1:27" ht="14.25" x14ac:dyDescent="0.2">
      <c r="A45" s="12">
        <v>2024</v>
      </c>
      <c r="B45" s="12">
        <v>7</v>
      </c>
      <c r="C45" s="12"/>
      <c r="D45" s="12" t="s">
        <v>63</v>
      </c>
      <c r="E45" s="12">
        <v>7941</v>
      </c>
      <c r="F45" s="12" t="s">
        <v>16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 t="s">
        <v>11</v>
      </c>
      <c r="T45" s="13"/>
      <c r="U45" s="13"/>
      <c r="V45" s="13"/>
      <c r="W45" s="13"/>
      <c r="X45" s="13"/>
      <c r="Y45" s="14">
        <f t="shared" si="0"/>
        <v>13780</v>
      </c>
    </row>
    <row r="46" spans="1:27" ht="14.25" x14ac:dyDescent="0.2">
      <c r="A46" s="12">
        <v>2024</v>
      </c>
      <c r="B46" s="12">
        <v>7</v>
      </c>
      <c r="C46" s="12"/>
      <c r="D46" s="12" t="s">
        <v>63</v>
      </c>
      <c r="E46" s="12">
        <v>7942</v>
      </c>
      <c r="F46" s="12" t="s">
        <v>16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3" t="s">
        <v>11</v>
      </c>
      <c r="T46" s="13"/>
      <c r="U46" s="13"/>
      <c r="V46" s="13"/>
      <c r="W46" s="13"/>
      <c r="X46" s="13"/>
      <c r="Y46" s="14">
        <f t="shared" si="0"/>
        <v>13780</v>
      </c>
    </row>
    <row r="47" spans="1:27" ht="14.25" x14ac:dyDescent="0.2">
      <c r="A47" s="12">
        <v>2024</v>
      </c>
      <c r="B47" s="12">
        <v>7</v>
      </c>
      <c r="C47" s="12"/>
      <c r="D47" s="12" t="s">
        <v>63</v>
      </c>
      <c r="E47" s="12">
        <v>7943</v>
      </c>
      <c r="F47" s="12" t="s">
        <v>16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 t="s">
        <v>11</v>
      </c>
      <c r="T47" s="13"/>
      <c r="U47" s="13"/>
      <c r="V47" s="13"/>
      <c r="W47" s="13"/>
      <c r="X47" s="13"/>
      <c r="Y47" s="14">
        <f t="shared" si="0"/>
        <v>13780</v>
      </c>
    </row>
    <row r="48" spans="1:27" ht="14.25" x14ac:dyDescent="0.2">
      <c r="A48" s="12">
        <v>2024</v>
      </c>
      <c r="B48" s="12">
        <v>7</v>
      </c>
      <c r="C48" s="12"/>
      <c r="D48" s="12" t="s">
        <v>63</v>
      </c>
      <c r="E48" s="12">
        <v>7944</v>
      </c>
      <c r="F48" s="12" t="s">
        <v>16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 t="s">
        <v>11</v>
      </c>
      <c r="T48" s="13"/>
      <c r="U48" s="13"/>
      <c r="V48" s="13"/>
      <c r="W48" s="13"/>
      <c r="X48" s="13"/>
      <c r="Y48" s="14">
        <f t="shared" si="0"/>
        <v>13780</v>
      </c>
    </row>
    <row r="49" spans="1:25" ht="14.25" x14ac:dyDescent="0.2">
      <c r="A49" s="12">
        <v>2024</v>
      </c>
      <c r="B49" s="12">
        <v>7</v>
      </c>
      <c r="C49" s="12"/>
      <c r="D49" s="12" t="s">
        <v>63</v>
      </c>
      <c r="E49" s="12">
        <v>7945</v>
      </c>
      <c r="F49" s="12" t="s">
        <v>16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 t="s">
        <v>11</v>
      </c>
      <c r="T49" s="13"/>
      <c r="U49" s="13"/>
      <c r="V49" s="13"/>
      <c r="W49" s="13"/>
      <c r="X49" s="13"/>
      <c r="Y49" s="14">
        <f t="shared" si="0"/>
        <v>13780</v>
      </c>
    </row>
    <row r="50" spans="1:25" ht="14.25" x14ac:dyDescent="0.2">
      <c r="A50" s="12">
        <v>2024</v>
      </c>
      <c r="B50" s="12">
        <v>7</v>
      </c>
      <c r="C50" s="12"/>
      <c r="D50" s="12" t="s">
        <v>63</v>
      </c>
      <c r="E50" s="12">
        <v>7946</v>
      </c>
      <c r="F50" s="12" t="s">
        <v>16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 t="s">
        <v>11</v>
      </c>
      <c r="T50" s="13"/>
      <c r="U50" s="13"/>
      <c r="V50" s="13"/>
      <c r="W50" s="13"/>
      <c r="X50" s="13"/>
      <c r="Y50" s="14">
        <f t="shared" si="0"/>
        <v>13780</v>
      </c>
    </row>
    <row r="51" spans="1:25" ht="14.25" x14ac:dyDescent="0.2">
      <c r="A51" s="12">
        <v>2024</v>
      </c>
      <c r="B51" s="12">
        <v>7</v>
      </c>
      <c r="C51" s="12"/>
      <c r="D51" s="12" t="s">
        <v>63</v>
      </c>
      <c r="E51" s="12">
        <v>7947</v>
      </c>
      <c r="F51" s="12" t="s">
        <v>16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3" t="s">
        <v>11</v>
      </c>
      <c r="T51" s="13"/>
      <c r="U51" s="13"/>
      <c r="V51" s="13"/>
      <c r="W51" s="13"/>
      <c r="X51" s="13"/>
      <c r="Y51" s="14">
        <f t="shared" si="0"/>
        <v>13780</v>
      </c>
    </row>
    <row r="52" spans="1:25" ht="14.25" x14ac:dyDescent="0.2">
      <c r="A52" s="12">
        <v>2024</v>
      </c>
      <c r="B52" s="12">
        <v>7</v>
      </c>
      <c r="C52" s="12"/>
      <c r="D52" s="12" t="s">
        <v>63</v>
      </c>
      <c r="E52" s="12">
        <v>7948</v>
      </c>
      <c r="F52" s="12" t="s">
        <v>16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3" t="s">
        <v>11</v>
      </c>
      <c r="T52" s="13"/>
      <c r="U52" s="13"/>
      <c r="V52" s="13"/>
      <c r="W52" s="13"/>
      <c r="X52" s="13"/>
      <c r="Y52" s="14">
        <f t="shared" si="0"/>
        <v>13780</v>
      </c>
    </row>
    <row r="53" spans="1:25" ht="14.25" x14ac:dyDescent="0.2">
      <c r="A53" s="12">
        <v>2024</v>
      </c>
      <c r="B53" s="12">
        <v>7</v>
      </c>
      <c r="C53" s="12"/>
      <c r="D53" s="12" t="s">
        <v>63</v>
      </c>
      <c r="E53" s="12">
        <v>7949</v>
      </c>
      <c r="F53" s="12" t="s">
        <v>16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3" t="s">
        <v>11</v>
      </c>
      <c r="T53" s="13"/>
      <c r="U53" s="13"/>
      <c r="V53" s="13"/>
      <c r="W53" s="13"/>
      <c r="X53" s="13"/>
      <c r="Y53" s="14">
        <f t="shared" si="0"/>
        <v>13780</v>
      </c>
    </row>
    <row r="54" spans="1:25" ht="14.25" x14ac:dyDescent="0.2">
      <c r="A54" s="12">
        <v>2024</v>
      </c>
      <c r="B54" s="12">
        <v>7</v>
      </c>
      <c r="C54" s="12"/>
      <c r="D54" s="12" t="s">
        <v>63</v>
      </c>
      <c r="E54" s="12">
        <v>7950</v>
      </c>
      <c r="F54" s="12" t="s">
        <v>16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3" t="s">
        <v>11</v>
      </c>
      <c r="T54" s="13"/>
      <c r="U54" s="13"/>
      <c r="V54" s="13"/>
      <c r="W54" s="13"/>
      <c r="X54" s="13"/>
      <c r="Y54" s="14">
        <f t="shared" si="0"/>
        <v>13780</v>
      </c>
    </row>
    <row r="55" spans="1:25" ht="14.25" x14ac:dyDescent="0.2">
      <c r="A55" s="12">
        <v>2024</v>
      </c>
      <c r="B55" s="12">
        <v>7</v>
      </c>
      <c r="C55" s="12"/>
      <c r="D55" s="12" t="s">
        <v>63</v>
      </c>
      <c r="E55" s="12">
        <v>7951</v>
      </c>
      <c r="F55" s="12" t="s">
        <v>16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3" t="s">
        <v>11</v>
      </c>
      <c r="T55" s="13"/>
      <c r="U55" s="13"/>
      <c r="V55" s="13"/>
      <c r="W55" s="13"/>
      <c r="X55" s="13"/>
      <c r="Y55" s="14">
        <f t="shared" si="0"/>
        <v>13780</v>
      </c>
    </row>
    <row r="56" spans="1:25" ht="14.25" x14ac:dyDescent="0.2">
      <c r="A56" s="12">
        <v>2024</v>
      </c>
      <c r="B56" s="12">
        <v>7</v>
      </c>
      <c r="C56" s="12"/>
      <c r="D56" s="12" t="s">
        <v>63</v>
      </c>
      <c r="E56" s="12">
        <v>7952</v>
      </c>
      <c r="F56" s="12" t="s">
        <v>16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3" t="s">
        <v>11</v>
      </c>
      <c r="T56" s="13"/>
      <c r="U56" s="13"/>
      <c r="V56" s="13"/>
      <c r="W56" s="13"/>
      <c r="X56" s="13"/>
      <c r="Y56" s="14">
        <f t="shared" si="0"/>
        <v>13780</v>
      </c>
    </row>
    <row r="57" spans="1:25" ht="14.25" x14ac:dyDescent="0.2">
      <c r="A57" s="12">
        <v>2024</v>
      </c>
      <c r="B57" s="12">
        <v>7</v>
      </c>
      <c r="C57" s="12"/>
      <c r="D57" s="12" t="s">
        <v>63</v>
      </c>
      <c r="E57" s="12">
        <v>7953</v>
      </c>
      <c r="F57" s="12" t="s">
        <v>16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3" t="s">
        <v>11</v>
      </c>
      <c r="T57" s="13"/>
      <c r="U57" s="13"/>
      <c r="V57" s="13"/>
      <c r="W57" s="13"/>
      <c r="X57" s="13"/>
      <c r="Y57" s="14">
        <f t="shared" si="0"/>
        <v>13780</v>
      </c>
    </row>
    <row r="58" spans="1:25" ht="14.25" x14ac:dyDescent="0.2">
      <c r="A58" s="12">
        <v>2024</v>
      </c>
      <c r="B58" s="12">
        <v>7</v>
      </c>
      <c r="C58" s="12"/>
      <c r="D58" s="12" t="s">
        <v>63</v>
      </c>
      <c r="E58" s="12">
        <v>7954</v>
      </c>
      <c r="F58" s="12" t="s">
        <v>16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3" t="s">
        <v>11</v>
      </c>
      <c r="T58" s="13"/>
      <c r="U58" s="13"/>
      <c r="V58" s="13"/>
      <c r="W58" s="13"/>
      <c r="X58" s="13"/>
      <c r="Y58" s="14">
        <f t="shared" si="0"/>
        <v>13780</v>
      </c>
    </row>
    <row r="59" spans="1:25" ht="14.25" x14ac:dyDescent="0.2">
      <c r="A59" s="12">
        <v>2024</v>
      </c>
      <c r="B59" s="12">
        <v>7</v>
      </c>
      <c r="C59" s="12"/>
      <c r="D59" s="12" t="s">
        <v>63</v>
      </c>
      <c r="E59" s="12">
        <v>7955</v>
      </c>
      <c r="F59" s="12" t="s">
        <v>16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3" t="s">
        <v>11</v>
      </c>
      <c r="T59" s="13"/>
      <c r="U59" s="13"/>
      <c r="V59" s="13"/>
      <c r="W59" s="13"/>
      <c r="X59" s="13"/>
      <c r="Y59" s="14">
        <f t="shared" si="0"/>
        <v>13780</v>
      </c>
    </row>
    <row r="60" spans="1:25" ht="14.25" x14ac:dyDescent="0.2">
      <c r="A60" s="12">
        <v>2024</v>
      </c>
      <c r="B60" s="12">
        <v>7</v>
      </c>
      <c r="C60" s="12"/>
      <c r="D60" s="12" t="s">
        <v>63</v>
      </c>
      <c r="E60" s="12">
        <v>7956</v>
      </c>
      <c r="F60" s="12" t="s">
        <v>16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3" t="s">
        <v>11</v>
      </c>
      <c r="T60" s="13"/>
      <c r="U60" s="13"/>
      <c r="V60" s="13"/>
      <c r="W60" s="13"/>
      <c r="X60" s="13"/>
      <c r="Y60" s="14">
        <f t="shared" si="0"/>
        <v>13780</v>
      </c>
    </row>
    <row r="61" spans="1:25" ht="14.25" x14ac:dyDescent="0.2">
      <c r="A61" s="12">
        <v>2024</v>
      </c>
      <c r="B61" s="12">
        <v>7</v>
      </c>
      <c r="C61" s="12"/>
      <c r="D61" s="12" t="s">
        <v>63</v>
      </c>
      <c r="E61" s="12">
        <v>7957</v>
      </c>
      <c r="F61" s="12" t="s">
        <v>16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3" t="s">
        <v>11</v>
      </c>
      <c r="T61" s="13"/>
      <c r="U61" s="13"/>
      <c r="V61" s="13"/>
      <c r="W61" s="13"/>
      <c r="X61" s="13"/>
      <c r="Y61" s="14">
        <f t="shared" si="0"/>
        <v>13780</v>
      </c>
    </row>
    <row r="62" spans="1:25" ht="14.25" x14ac:dyDescent="0.2">
      <c r="A62" s="12">
        <v>2024</v>
      </c>
      <c r="B62" s="12">
        <v>7</v>
      </c>
      <c r="C62" s="12"/>
      <c r="D62" s="12" t="s">
        <v>63</v>
      </c>
      <c r="E62" s="12">
        <v>7958</v>
      </c>
      <c r="F62" s="12" t="s">
        <v>16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3" t="s">
        <v>11</v>
      </c>
      <c r="T62" s="13"/>
      <c r="U62" s="13"/>
      <c r="V62" s="13"/>
      <c r="W62" s="13"/>
      <c r="X62" s="13"/>
      <c r="Y62" s="14">
        <f t="shared" si="0"/>
        <v>13780</v>
      </c>
    </row>
    <row r="63" spans="1:25" ht="14.25" x14ac:dyDescent="0.2">
      <c r="A63" s="12">
        <v>2024</v>
      </c>
      <c r="B63" s="12">
        <v>7</v>
      </c>
      <c r="C63" s="12"/>
      <c r="D63" s="12" t="s">
        <v>63</v>
      </c>
      <c r="E63" s="12">
        <v>7959</v>
      </c>
      <c r="F63" s="12" t="s">
        <v>16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3" t="s">
        <v>11</v>
      </c>
      <c r="T63" s="13"/>
      <c r="U63" s="13"/>
      <c r="V63" s="13"/>
      <c r="W63" s="13"/>
      <c r="X63" s="13"/>
      <c r="Y63" s="14">
        <f t="shared" si="0"/>
        <v>13780</v>
      </c>
    </row>
    <row r="64" spans="1:25" ht="14.25" x14ac:dyDescent="0.2">
      <c r="A64" s="12">
        <v>2024</v>
      </c>
      <c r="B64" s="12">
        <v>7</v>
      </c>
      <c r="C64" s="12"/>
      <c r="D64" s="12" t="s">
        <v>63</v>
      </c>
      <c r="E64" s="12">
        <v>7960</v>
      </c>
      <c r="F64" s="12" t="s">
        <v>16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3" t="s">
        <v>11</v>
      </c>
      <c r="T64" s="13"/>
      <c r="U64" s="13"/>
      <c r="V64" s="13"/>
      <c r="W64" s="13"/>
      <c r="X64" s="13"/>
      <c r="Y64" s="14">
        <f t="shared" si="0"/>
        <v>13780</v>
      </c>
    </row>
    <row r="65" spans="1:25" ht="14.25" x14ac:dyDescent="0.2">
      <c r="A65" s="12">
        <v>2024</v>
      </c>
      <c r="B65" s="12">
        <v>7</v>
      </c>
      <c r="C65" s="12"/>
      <c r="D65" s="12" t="s">
        <v>63</v>
      </c>
      <c r="E65" s="12">
        <v>7961</v>
      </c>
      <c r="F65" s="12" t="s">
        <v>16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3" t="s">
        <v>11</v>
      </c>
      <c r="T65" s="13"/>
      <c r="U65" s="13"/>
      <c r="V65" s="13"/>
      <c r="W65" s="13"/>
      <c r="X65" s="13"/>
      <c r="Y65" s="14">
        <f t="shared" si="0"/>
        <v>13780</v>
      </c>
    </row>
    <row r="66" spans="1:25" ht="14.25" x14ac:dyDescent="0.2">
      <c r="A66" s="12">
        <v>2024</v>
      </c>
      <c r="B66" s="12">
        <v>7</v>
      </c>
      <c r="C66" s="12"/>
      <c r="D66" s="12" t="s">
        <v>63</v>
      </c>
      <c r="E66" s="12">
        <v>7962</v>
      </c>
      <c r="F66" s="12" t="s">
        <v>16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3" t="s">
        <v>11</v>
      </c>
      <c r="T66" s="13"/>
      <c r="U66" s="13"/>
      <c r="V66" s="13"/>
      <c r="W66" s="13"/>
      <c r="X66" s="13"/>
      <c r="Y66" s="14">
        <f t="shared" si="0"/>
        <v>13780</v>
      </c>
    </row>
    <row r="67" spans="1:25" ht="14.25" x14ac:dyDescent="0.2">
      <c r="A67" s="12">
        <v>2024</v>
      </c>
      <c r="B67" s="12">
        <v>7</v>
      </c>
      <c r="C67" s="12"/>
      <c r="D67" s="12" t="s">
        <v>63</v>
      </c>
      <c r="E67" s="12">
        <v>7963</v>
      </c>
      <c r="F67" s="12" t="s">
        <v>16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3" t="s">
        <v>11</v>
      </c>
      <c r="T67" s="13"/>
      <c r="U67" s="13"/>
      <c r="V67" s="13"/>
      <c r="W67" s="13"/>
      <c r="X67" s="13"/>
      <c r="Y67" s="14">
        <f t="shared" si="0"/>
        <v>13780</v>
      </c>
    </row>
    <row r="68" spans="1:25" ht="14.25" x14ac:dyDescent="0.2">
      <c r="A68" s="12">
        <v>2024</v>
      </c>
      <c r="B68" s="12">
        <v>7</v>
      </c>
      <c r="C68" s="12"/>
      <c r="D68" s="12" t="s">
        <v>63</v>
      </c>
      <c r="E68" s="12">
        <v>7964</v>
      </c>
      <c r="F68" s="12" t="s">
        <v>16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3" t="s">
        <v>11</v>
      </c>
      <c r="T68" s="13"/>
      <c r="U68" s="13"/>
      <c r="V68" s="13"/>
      <c r="W68" s="13"/>
      <c r="X68" s="13"/>
      <c r="Y68" s="14">
        <f t="shared" si="0"/>
        <v>13780</v>
      </c>
    </row>
    <row r="69" spans="1:25" ht="14.25" x14ac:dyDescent="0.2">
      <c r="A69" s="12">
        <v>2024</v>
      </c>
      <c r="B69" s="12">
        <v>7</v>
      </c>
      <c r="C69" s="12"/>
      <c r="D69" s="12" t="s">
        <v>63</v>
      </c>
      <c r="E69" s="12">
        <v>7965</v>
      </c>
      <c r="F69" s="12" t="s">
        <v>16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3" t="s">
        <v>11</v>
      </c>
      <c r="T69" s="13"/>
      <c r="U69" s="13"/>
      <c r="V69" s="13"/>
      <c r="W69" s="13"/>
      <c r="X69" s="13"/>
      <c r="Y69" s="14">
        <f t="shared" si="0"/>
        <v>13780</v>
      </c>
    </row>
    <row r="70" spans="1:25" ht="14.25" x14ac:dyDescent="0.2">
      <c r="A70" s="12">
        <v>2024</v>
      </c>
      <c r="B70" s="12">
        <v>7</v>
      </c>
      <c r="C70" s="12"/>
      <c r="D70" s="12" t="s">
        <v>63</v>
      </c>
      <c r="E70" s="12">
        <v>7966</v>
      </c>
      <c r="F70" s="12" t="s">
        <v>16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3" t="s">
        <v>11</v>
      </c>
      <c r="T70" s="13"/>
      <c r="U70" s="13"/>
      <c r="V70" s="13"/>
      <c r="W70" s="13"/>
      <c r="X70" s="13"/>
      <c r="Y70" s="14">
        <f t="shared" ref="Y70:Y104" si="1">Y69+SUM(G70:Q70)</f>
        <v>13780</v>
      </c>
    </row>
    <row r="71" spans="1:25" ht="14.25" x14ac:dyDescent="0.2">
      <c r="A71" s="12">
        <v>2024</v>
      </c>
      <c r="B71" s="12">
        <v>7</v>
      </c>
      <c r="C71" s="12"/>
      <c r="D71" s="12" t="s">
        <v>63</v>
      </c>
      <c r="E71" s="12">
        <v>7967</v>
      </c>
      <c r="F71" s="12" t="s">
        <v>16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3" t="s">
        <v>11</v>
      </c>
      <c r="T71" s="13"/>
      <c r="U71" s="13"/>
      <c r="V71" s="13"/>
      <c r="W71" s="13"/>
      <c r="X71" s="13"/>
      <c r="Y71" s="14">
        <f t="shared" si="1"/>
        <v>13780</v>
      </c>
    </row>
    <row r="72" spans="1:25" ht="14.25" x14ac:dyDescent="0.2">
      <c r="A72" s="12">
        <v>2024</v>
      </c>
      <c r="B72" s="12">
        <v>7</v>
      </c>
      <c r="C72" s="12"/>
      <c r="D72" s="12" t="s">
        <v>63</v>
      </c>
      <c r="E72" s="12">
        <v>7968</v>
      </c>
      <c r="F72" s="12" t="s">
        <v>16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3" t="s">
        <v>11</v>
      </c>
      <c r="T72" s="13"/>
      <c r="U72" s="13"/>
      <c r="V72" s="13"/>
      <c r="W72" s="13"/>
      <c r="X72" s="13"/>
      <c r="Y72" s="14">
        <f t="shared" si="1"/>
        <v>13780</v>
      </c>
    </row>
    <row r="73" spans="1:25" ht="14.25" x14ac:dyDescent="0.2">
      <c r="A73" s="12">
        <v>2024</v>
      </c>
      <c r="B73" s="12">
        <v>7</v>
      </c>
      <c r="C73" s="12"/>
      <c r="D73" s="12" t="s">
        <v>63</v>
      </c>
      <c r="E73" s="12">
        <v>7969</v>
      </c>
      <c r="F73" s="12" t="s">
        <v>16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3" t="s">
        <v>11</v>
      </c>
      <c r="T73" s="13"/>
      <c r="U73" s="13"/>
      <c r="V73" s="13"/>
      <c r="W73" s="13"/>
      <c r="X73" s="13"/>
      <c r="Y73" s="14">
        <f t="shared" si="1"/>
        <v>13780</v>
      </c>
    </row>
    <row r="74" spans="1:25" ht="14.25" x14ac:dyDescent="0.2">
      <c r="A74" s="12">
        <v>2024</v>
      </c>
      <c r="B74" s="12">
        <v>7</v>
      </c>
      <c r="C74" s="12"/>
      <c r="D74" s="12" t="s">
        <v>63</v>
      </c>
      <c r="E74" s="12">
        <v>7970</v>
      </c>
      <c r="F74" s="12" t="s">
        <v>16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3" t="s">
        <v>11</v>
      </c>
      <c r="T74" s="13"/>
      <c r="U74" s="13"/>
      <c r="V74" s="13"/>
      <c r="W74" s="13"/>
      <c r="X74" s="13"/>
      <c r="Y74" s="14">
        <f t="shared" si="1"/>
        <v>13780</v>
      </c>
    </row>
    <row r="75" spans="1:25" ht="14.25" x14ac:dyDescent="0.2">
      <c r="A75" s="12">
        <v>2024</v>
      </c>
      <c r="B75" s="12">
        <v>7</v>
      </c>
      <c r="C75" s="12"/>
      <c r="D75" s="12" t="s">
        <v>63</v>
      </c>
      <c r="E75" s="12">
        <v>7971</v>
      </c>
      <c r="F75" s="12" t="s">
        <v>16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3" t="s">
        <v>11</v>
      </c>
      <c r="T75" s="13"/>
      <c r="U75" s="13"/>
      <c r="V75" s="13"/>
      <c r="W75" s="13"/>
      <c r="X75" s="13"/>
      <c r="Y75" s="14">
        <f t="shared" si="1"/>
        <v>13780</v>
      </c>
    </row>
    <row r="76" spans="1:25" ht="14.25" x14ac:dyDescent="0.2">
      <c r="A76" s="12">
        <v>2024</v>
      </c>
      <c r="B76" s="12">
        <v>7</v>
      </c>
      <c r="C76" s="12"/>
      <c r="D76" s="12" t="s">
        <v>63</v>
      </c>
      <c r="E76" s="12">
        <v>7972</v>
      </c>
      <c r="F76" s="12" t="s">
        <v>16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3" t="s">
        <v>11</v>
      </c>
      <c r="T76" s="13"/>
      <c r="U76" s="13"/>
      <c r="V76" s="13"/>
      <c r="W76" s="13"/>
      <c r="X76" s="13"/>
      <c r="Y76" s="14">
        <f t="shared" si="1"/>
        <v>13780</v>
      </c>
    </row>
    <row r="77" spans="1:25" ht="14.25" x14ac:dyDescent="0.2">
      <c r="A77" s="12">
        <v>2024</v>
      </c>
      <c r="B77" s="12">
        <v>7</v>
      </c>
      <c r="C77" s="12"/>
      <c r="D77" s="12" t="s">
        <v>63</v>
      </c>
      <c r="E77" s="12">
        <v>7973</v>
      </c>
      <c r="F77" s="12" t="s">
        <v>16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3" t="s">
        <v>11</v>
      </c>
      <c r="T77" s="13"/>
      <c r="U77" s="13"/>
      <c r="V77" s="13"/>
      <c r="W77" s="13"/>
      <c r="X77" s="13"/>
      <c r="Y77" s="14">
        <f t="shared" si="1"/>
        <v>13780</v>
      </c>
    </row>
    <row r="78" spans="1:25" ht="14.25" x14ac:dyDescent="0.2">
      <c r="A78" s="12">
        <v>2024</v>
      </c>
      <c r="B78" s="12">
        <v>7</v>
      </c>
      <c r="C78" s="12"/>
      <c r="D78" s="12" t="s">
        <v>63</v>
      </c>
      <c r="E78" s="12">
        <v>7974</v>
      </c>
      <c r="F78" s="12" t="s">
        <v>16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3" t="s">
        <v>11</v>
      </c>
      <c r="T78" s="13"/>
      <c r="U78" s="13"/>
      <c r="V78" s="13"/>
      <c r="W78" s="13"/>
      <c r="X78" s="13"/>
      <c r="Y78" s="14">
        <f t="shared" si="1"/>
        <v>13780</v>
      </c>
    </row>
    <row r="79" spans="1:25" ht="14.25" x14ac:dyDescent="0.2">
      <c r="A79" s="12">
        <v>2024</v>
      </c>
      <c r="B79" s="12">
        <v>7</v>
      </c>
      <c r="C79" s="12"/>
      <c r="D79" s="12" t="s">
        <v>63</v>
      </c>
      <c r="E79" s="12">
        <v>7975</v>
      </c>
      <c r="F79" s="12" t="s">
        <v>16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3" t="s">
        <v>11</v>
      </c>
      <c r="T79" s="13"/>
      <c r="U79" s="13"/>
      <c r="V79" s="13"/>
      <c r="W79" s="13"/>
      <c r="X79" s="13"/>
      <c r="Y79" s="14">
        <f t="shared" si="1"/>
        <v>13780</v>
      </c>
    </row>
    <row r="80" spans="1:25" ht="14.25" x14ac:dyDescent="0.2">
      <c r="A80" s="12">
        <v>2024</v>
      </c>
      <c r="B80" s="12">
        <v>7</v>
      </c>
      <c r="C80" s="12"/>
      <c r="D80" s="12" t="s">
        <v>63</v>
      </c>
      <c r="E80" s="12">
        <v>7976</v>
      </c>
      <c r="F80" s="12" t="s">
        <v>16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3" t="s">
        <v>11</v>
      </c>
      <c r="T80" s="13"/>
      <c r="U80" s="13"/>
      <c r="V80" s="13"/>
      <c r="W80" s="13"/>
      <c r="X80" s="13"/>
      <c r="Y80" s="14">
        <f t="shared" si="1"/>
        <v>13780</v>
      </c>
    </row>
    <row r="81" spans="1:25" ht="14.25" x14ac:dyDescent="0.2">
      <c r="A81" s="12">
        <v>2024</v>
      </c>
      <c r="B81" s="12">
        <v>7</v>
      </c>
      <c r="C81" s="12"/>
      <c r="D81" s="12" t="s">
        <v>63</v>
      </c>
      <c r="E81" s="12">
        <v>7977</v>
      </c>
      <c r="F81" s="12" t="s">
        <v>16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3" t="s">
        <v>11</v>
      </c>
      <c r="T81" s="13"/>
      <c r="U81" s="13"/>
      <c r="V81" s="13"/>
      <c r="W81" s="13"/>
      <c r="X81" s="13"/>
      <c r="Y81" s="14">
        <f t="shared" si="1"/>
        <v>13780</v>
      </c>
    </row>
    <row r="82" spans="1:25" ht="14.25" x14ac:dyDescent="0.2">
      <c r="A82" s="12">
        <v>2024</v>
      </c>
      <c r="B82" s="12">
        <v>7</v>
      </c>
      <c r="C82" s="12"/>
      <c r="D82" s="12" t="s">
        <v>63</v>
      </c>
      <c r="E82" s="12">
        <v>7978</v>
      </c>
      <c r="F82" s="12" t="s">
        <v>16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3" t="s">
        <v>11</v>
      </c>
      <c r="T82" s="13"/>
      <c r="U82" s="13"/>
      <c r="V82" s="13"/>
      <c r="W82" s="13"/>
      <c r="X82" s="13"/>
      <c r="Y82" s="14">
        <f t="shared" si="1"/>
        <v>13780</v>
      </c>
    </row>
    <row r="83" spans="1:25" ht="14.25" x14ac:dyDescent="0.2">
      <c r="A83" s="12">
        <v>2024</v>
      </c>
      <c r="B83" s="12">
        <v>7</v>
      </c>
      <c r="C83" s="12"/>
      <c r="D83" s="12" t="s">
        <v>63</v>
      </c>
      <c r="E83" s="12">
        <v>7979</v>
      </c>
      <c r="F83" s="12" t="s">
        <v>16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3" t="s">
        <v>11</v>
      </c>
      <c r="T83" s="13"/>
      <c r="U83" s="13"/>
      <c r="V83" s="13"/>
      <c r="W83" s="13"/>
      <c r="X83" s="13"/>
      <c r="Y83" s="14">
        <f t="shared" si="1"/>
        <v>13780</v>
      </c>
    </row>
    <row r="84" spans="1:25" ht="14.25" x14ac:dyDescent="0.2">
      <c r="A84" s="12">
        <v>2024</v>
      </c>
      <c r="B84" s="12">
        <v>7</v>
      </c>
      <c r="C84" s="12"/>
      <c r="D84" s="12" t="s">
        <v>63</v>
      </c>
      <c r="E84" s="12">
        <v>7980</v>
      </c>
      <c r="F84" s="12" t="s">
        <v>16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3" t="s">
        <v>11</v>
      </c>
      <c r="T84" s="13"/>
      <c r="U84" s="13"/>
      <c r="V84" s="13"/>
      <c r="W84" s="13"/>
      <c r="X84" s="13"/>
      <c r="Y84" s="14">
        <f t="shared" si="1"/>
        <v>13780</v>
      </c>
    </row>
    <row r="85" spans="1:25" ht="14.25" x14ac:dyDescent="0.2">
      <c r="A85" s="12">
        <v>2024</v>
      </c>
      <c r="B85" s="12">
        <v>7</v>
      </c>
      <c r="C85" s="12"/>
      <c r="D85" s="12" t="s">
        <v>63</v>
      </c>
      <c r="E85" s="12">
        <v>7981</v>
      </c>
      <c r="F85" s="12" t="s">
        <v>16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3" t="s">
        <v>11</v>
      </c>
      <c r="T85" s="13"/>
      <c r="U85" s="13"/>
      <c r="V85" s="13"/>
      <c r="W85" s="13"/>
      <c r="X85" s="13"/>
      <c r="Y85" s="14">
        <f t="shared" si="1"/>
        <v>13780</v>
      </c>
    </row>
    <row r="86" spans="1:25" ht="14.25" x14ac:dyDescent="0.2">
      <c r="A86" s="12">
        <v>2024</v>
      </c>
      <c r="B86" s="12">
        <v>7</v>
      </c>
      <c r="C86" s="12"/>
      <c r="D86" s="12" t="s">
        <v>63</v>
      </c>
      <c r="E86" s="12">
        <v>7982</v>
      </c>
      <c r="F86" s="12" t="s">
        <v>16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3" t="s">
        <v>11</v>
      </c>
      <c r="T86" s="13"/>
      <c r="U86" s="13"/>
      <c r="V86" s="13"/>
      <c r="W86" s="13"/>
      <c r="X86" s="13"/>
      <c r="Y86" s="14">
        <f t="shared" si="1"/>
        <v>13780</v>
      </c>
    </row>
    <row r="87" spans="1:25" ht="14.25" x14ac:dyDescent="0.2">
      <c r="A87" s="12">
        <v>2024</v>
      </c>
      <c r="B87" s="12">
        <v>7</v>
      </c>
      <c r="C87" s="12"/>
      <c r="D87" s="12" t="s">
        <v>63</v>
      </c>
      <c r="E87" s="12">
        <v>7983</v>
      </c>
      <c r="F87" s="12" t="s">
        <v>16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3" t="s">
        <v>11</v>
      </c>
      <c r="T87" s="13"/>
      <c r="U87" s="13"/>
      <c r="V87" s="13"/>
      <c r="W87" s="13"/>
      <c r="X87" s="13"/>
      <c r="Y87" s="14">
        <f t="shared" si="1"/>
        <v>13780</v>
      </c>
    </row>
    <row r="88" spans="1:25" ht="14.25" x14ac:dyDescent="0.2">
      <c r="A88" s="12">
        <v>2024</v>
      </c>
      <c r="B88" s="12">
        <v>7</v>
      </c>
      <c r="C88" s="12"/>
      <c r="D88" s="12" t="s">
        <v>63</v>
      </c>
      <c r="E88" s="12">
        <v>7984</v>
      </c>
      <c r="F88" s="12" t="s">
        <v>16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3" t="s">
        <v>11</v>
      </c>
      <c r="T88" s="13"/>
      <c r="U88" s="13"/>
      <c r="V88" s="13"/>
      <c r="W88" s="13"/>
      <c r="X88" s="13"/>
      <c r="Y88" s="14">
        <f t="shared" si="1"/>
        <v>13780</v>
      </c>
    </row>
    <row r="89" spans="1:25" ht="14.25" x14ac:dyDescent="0.2">
      <c r="A89" s="12">
        <v>2024</v>
      </c>
      <c r="B89" s="12">
        <v>7</v>
      </c>
      <c r="C89" s="12"/>
      <c r="D89" s="12" t="s">
        <v>63</v>
      </c>
      <c r="E89" s="12">
        <v>7985</v>
      </c>
      <c r="F89" s="12" t="s">
        <v>16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3" t="s">
        <v>11</v>
      </c>
      <c r="T89" s="13"/>
      <c r="U89" s="13"/>
      <c r="V89" s="13"/>
      <c r="W89" s="13"/>
      <c r="X89" s="13"/>
      <c r="Y89" s="14">
        <f t="shared" si="1"/>
        <v>13780</v>
      </c>
    </row>
    <row r="90" spans="1:25" ht="14.25" x14ac:dyDescent="0.2">
      <c r="A90" s="12">
        <v>2024</v>
      </c>
      <c r="B90" s="12">
        <v>7</v>
      </c>
      <c r="C90" s="12"/>
      <c r="D90" s="12" t="s">
        <v>63</v>
      </c>
      <c r="E90" s="12">
        <v>7986</v>
      </c>
      <c r="F90" s="12" t="s">
        <v>16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3" t="s">
        <v>11</v>
      </c>
      <c r="T90" s="13"/>
      <c r="U90" s="13"/>
      <c r="V90" s="13"/>
      <c r="W90" s="13"/>
      <c r="X90" s="13"/>
      <c r="Y90" s="14">
        <f t="shared" si="1"/>
        <v>13780</v>
      </c>
    </row>
    <row r="91" spans="1:25" ht="14.25" x14ac:dyDescent="0.2">
      <c r="A91" s="12">
        <v>2024</v>
      </c>
      <c r="B91" s="12">
        <v>7</v>
      </c>
      <c r="C91" s="12"/>
      <c r="D91" s="12" t="s">
        <v>63</v>
      </c>
      <c r="E91" s="12">
        <v>7987</v>
      </c>
      <c r="F91" s="12" t="s">
        <v>16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3" t="s">
        <v>11</v>
      </c>
      <c r="T91" s="13"/>
      <c r="U91" s="13"/>
      <c r="V91" s="13"/>
      <c r="W91" s="13"/>
      <c r="X91" s="13"/>
      <c r="Y91" s="14">
        <f t="shared" si="1"/>
        <v>13780</v>
      </c>
    </row>
    <row r="92" spans="1:25" ht="14.25" x14ac:dyDescent="0.2">
      <c r="A92" s="12">
        <v>2024</v>
      </c>
      <c r="B92" s="12">
        <v>7</v>
      </c>
      <c r="C92" s="12"/>
      <c r="D92" s="12" t="s">
        <v>63</v>
      </c>
      <c r="E92" s="12">
        <v>7988</v>
      </c>
      <c r="F92" s="12" t="s">
        <v>16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3" t="s">
        <v>11</v>
      </c>
      <c r="T92" s="13"/>
      <c r="U92" s="13"/>
      <c r="V92" s="13"/>
      <c r="W92" s="13"/>
      <c r="X92" s="13"/>
      <c r="Y92" s="14">
        <f t="shared" si="1"/>
        <v>13780</v>
      </c>
    </row>
    <row r="93" spans="1:25" ht="14.25" x14ac:dyDescent="0.2">
      <c r="A93" s="12">
        <v>2024</v>
      </c>
      <c r="B93" s="12">
        <v>7</v>
      </c>
      <c r="C93" s="12"/>
      <c r="D93" s="12" t="s">
        <v>63</v>
      </c>
      <c r="E93" s="12">
        <v>7989</v>
      </c>
      <c r="F93" s="12" t="s">
        <v>16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3" t="s">
        <v>11</v>
      </c>
      <c r="T93" s="13"/>
      <c r="U93" s="13"/>
      <c r="V93" s="13"/>
      <c r="W93" s="13"/>
      <c r="X93" s="13"/>
      <c r="Y93" s="14">
        <f t="shared" si="1"/>
        <v>13780</v>
      </c>
    </row>
    <row r="94" spans="1:25" ht="14.25" x14ac:dyDescent="0.2">
      <c r="A94" s="12">
        <v>2024</v>
      </c>
      <c r="B94" s="12">
        <v>7</v>
      </c>
      <c r="C94" s="12"/>
      <c r="D94" s="12" t="s">
        <v>63</v>
      </c>
      <c r="E94" s="12">
        <v>7990</v>
      </c>
      <c r="F94" s="12" t="s">
        <v>16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3" t="s">
        <v>11</v>
      </c>
      <c r="T94" s="13"/>
      <c r="U94" s="13"/>
      <c r="V94" s="13"/>
      <c r="W94" s="13"/>
      <c r="X94" s="13"/>
      <c r="Y94" s="14">
        <f t="shared" si="1"/>
        <v>13780</v>
      </c>
    </row>
    <row r="95" spans="1:25" ht="14.25" x14ac:dyDescent="0.2">
      <c r="A95" s="12">
        <v>2024</v>
      </c>
      <c r="B95" s="12">
        <v>7</v>
      </c>
      <c r="C95" s="12"/>
      <c r="D95" s="12" t="s">
        <v>63</v>
      </c>
      <c r="E95" s="12">
        <v>7991</v>
      </c>
      <c r="F95" s="12" t="s">
        <v>16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3" t="s">
        <v>11</v>
      </c>
      <c r="T95" s="13"/>
      <c r="U95" s="13"/>
      <c r="V95" s="13"/>
      <c r="W95" s="13"/>
      <c r="X95" s="13"/>
      <c r="Y95" s="14">
        <f t="shared" si="1"/>
        <v>13780</v>
      </c>
    </row>
    <row r="96" spans="1:25" ht="14.25" x14ac:dyDescent="0.2">
      <c r="A96" s="12">
        <v>2024</v>
      </c>
      <c r="B96" s="12">
        <v>7</v>
      </c>
      <c r="C96" s="12"/>
      <c r="D96" s="12" t="s">
        <v>63</v>
      </c>
      <c r="E96" s="12">
        <v>7992</v>
      </c>
      <c r="F96" s="12" t="s">
        <v>16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3" t="s">
        <v>11</v>
      </c>
      <c r="T96" s="13"/>
      <c r="U96" s="13"/>
      <c r="V96" s="13"/>
      <c r="W96" s="13"/>
      <c r="X96" s="13"/>
      <c r="Y96" s="14">
        <f t="shared" si="1"/>
        <v>13780</v>
      </c>
    </row>
    <row r="97" spans="1:25" ht="14.25" x14ac:dyDescent="0.2">
      <c r="A97" s="12">
        <v>2024</v>
      </c>
      <c r="B97" s="12">
        <v>7</v>
      </c>
      <c r="C97" s="12"/>
      <c r="D97" s="12" t="s">
        <v>63</v>
      </c>
      <c r="E97" s="12">
        <v>7993</v>
      </c>
      <c r="F97" s="12" t="s">
        <v>16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3" t="s">
        <v>11</v>
      </c>
      <c r="T97" s="13"/>
      <c r="U97" s="13"/>
      <c r="V97" s="13"/>
      <c r="W97" s="13"/>
      <c r="X97" s="13"/>
      <c r="Y97" s="14">
        <f t="shared" si="1"/>
        <v>13780</v>
      </c>
    </row>
    <row r="98" spans="1:25" ht="14.25" x14ac:dyDescent="0.2">
      <c r="A98" s="12">
        <v>2024</v>
      </c>
      <c r="B98" s="12">
        <v>7</v>
      </c>
      <c r="C98" s="12"/>
      <c r="D98" s="12" t="s">
        <v>63</v>
      </c>
      <c r="E98" s="12">
        <v>7994</v>
      </c>
      <c r="F98" s="12" t="s">
        <v>16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3" t="s">
        <v>11</v>
      </c>
      <c r="T98" s="13"/>
      <c r="U98" s="13"/>
      <c r="V98" s="13"/>
      <c r="W98" s="13"/>
      <c r="X98" s="13"/>
      <c r="Y98" s="14">
        <f t="shared" si="1"/>
        <v>13780</v>
      </c>
    </row>
    <row r="99" spans="1:25" ht="14.25" x14ac:dyDescent="0.2">
      <c r="A99" s="12">
        <v>2024</v>
      </c>
      <c r="B99" s="12">
        <v>7</v>
      </c>
      <c r="C99" s="12"/>
      <c r="D99" s="12" t="s">
        <v>63</v>
      </c>
      <c r="E99" s="12">
        <v>7995</v>
      </c>
      <c r="F99" s="12" t="s">
        <v>16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3" t="s">
        <v>11</v>
      </c>
      <c r="T99" s="13"/>
      <c r="U99" s="13"/>
      <c r="V99" s="13"/>
      <c r="W99" s="13"/>
      <c r="X99" s="13"/>
      <c r="Y99" s="14">
        <f t="shared" si="1"/>
        <v>13780</v>
      </c>
    </row>
    <row r="100" spans="1:25" ht="14.25" x14ac:dyDescent="0.2">
      <c r="A100" s="12">
        <v>2024</v>
      </c>
      <c r="B100" s="12">
        <v>7</v>
      </c>
      <c r="C100" s="12"/>
      <c r="D100" s="12" t="s">
        <v>63</v>
      </c>
      <c r="E100" s="12">
        <v>7996</v>
      </c>
      <c r="F100" s="12" t="s">
        <v>16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3" t="s">
        <v>11</v>
      </c>
      <c r="T100" s="13"/>
      <c r="U100" s="13"/>
      <c r="V100" s="13"/>
      <c r="W100" s="13"/>
      <c r="X100" s="13"/>
      <c r="Y100" s="14">
        <f t="shared" si="1"/>
        <v>13780</v>
      </c>
    </row>
    <row r="101" spans="1:25" ht="14.25" x14ac:dyDescent="0.2">
      <c r="A101" s="12">
        <v>2024</v>
      </c>
      <c r="B101" s="12">
        <v>7</v>
      </c>
      <c r="C101" s="12"/>
      <c r="D101" s="12" t="s">
        <v>63</v>
      </c>
      <c r="E101" s="12">
        <v>7997</v>
      </c>
      <c r="F101" s="12" t="s">
        <v>16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3" t="s">
        <v>11</v>
      </c>
      <c r="T101" s="13"/>
      <c r="U101" s="13"/>
      <c r="V101" s="13"/>
      <c r="W101" s="13"/>
      <c r="X101" s="13"/>
      <c r="Y101" s="14">
        <f t="shared" si="1"/>
        <v>13780</v>
      </c>
    </row>
    <row r="102" spans="1:25" ht="14.25" x14ac:dyDescent="0.2">
      <c r="A102" s="12">
        <v>2024</v>
      </c>
      <c r="B102" s="12">
        <v>7</v>
      </c>
      <c r="C102" s="12"/>
      <c r="D102" s="12" t="s">
        <v>63</v>
      </c>
      <c r="E102" s="12">
        <v>7998</v>
      </c>
      <c r="F102" s="12" t="s">
        <v>16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3" t="s">
        <v>11</v>
      </c>
      <c r="T102" s="13"/>
      <c r="U102" s="13"/>
      <c r="V102" s="13"/>
      <c r="W102" s="13"/>
      <c r="X102" s="13"/>
      <c r="Y102" s="14">
        <f t="shared" si="1"/>
        <v>13780</v>
      </c>
    </row>
    <row r="103" spans="1:25" ht="14.25" x14ac:dyDescent="0.2">
      <c r="A103" s="12">
        <v>2024</v>
      </c>
      <c r="B103" s="12">
        <v>7</v>
      </c>
      <c r="C103" s="12"/>
      <c r="D103" s="12" t="s">
        <v>63</v>
      </c>
      <c r="E103" s="12">
        <v>7999</v>
      </c>
      <c r="F103" s="12" t="s">
        <v>16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3" t="s">
        <v>11</v>
      </c>
      <c r="T103" s="13"/>
      <c r="U103" s="13"/>
      <c r="V103" s="13"/>
      <c r="W103" s="13"/>
      <c r="X103" s="13"/>
      <c r="Y103" s="14">
        <f t="shared" si="1"/>
        <v>13780</v>
      </c>
    </row>
    <row r="104" spans="1:25" ht="14.25" x14ac:dyDescent="0.2">
      <c r="A104" s="12">
        <v>2024</v>
      </c>
      <c r="B104" s="12">
        <v>7</v>
      </c>
      <c r="C104" s="12"/>
      <c r="D104" s="12" t="s">
        <v>63</v>
      </c>
      <c r="E104" s="12">
        <v>8000</v>
      </c>
      <c r="F104" s="12" t="s">
        <v>16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3" t="s">
        <v>11</v>
      </c>
      <c r="T104" s="13"/>
      <c r="U104" s="13"/>
      <c r="V104" s="13"/>
      <c r="W104" s="13"/>
      <c r="X104" s="13"/>
      <c r="Y104" s="14">
        <f t="shared" si="1"/>
        <v>13780</v>
      </c>
    </row>
    <row r="105" spans="1:25" hidden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6"/>
      <c r="T105" s="16"/>
      <c r="U105" s="16"/>
      <c r="V105" s="16"/>
      <c r="W105" s="16"/>
      <c r="X105" s="16"/>
      <c r="Y105" s="16"/>
    </row>
    <row r="106" spans="1:25" hidden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6"/>
      <c r="T106" s="16"/>
      <c r="U106" s="16"/>
      <c r="V106" s="16"/>
      <c r="W106" s="16"/>
      <c r="X106" s="16"/>
      <c r="Y106" s="16"/>
    </row>
    <row r="107" spans="1:25" hidden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6"/>
      <c r="T107" s="16"/>
      <c r="U107" s="16"/>
      <c r="V107" s="16"/>
      <c r="W107" s="16"/>
      <c r="X107" s="16"/>
      <c r="Y107" s="16"/>
    </row>
    <row r="108" spans="1:25" hidden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6"/>
      <c r="T108" s="16"/>
      <c r="U108" s="16"/>
      <c r="V108" s="16"/>
      <c r="W108" s="16"/>
      <c r="X108" s="16"/>
      <c r="Y108" s="16"/>
    </row>
  </sheetData>
  <sheetProtection algorithmName="SHA-512" hashValue="hIyuatGB6Fit/YhnGTyw8P1+yvM/EdTvo/ImNaWrPsOete59erwN812CVa/kfUns1VY4LxuwpPaHoj91NY9Erg==" saltValue="/YTk1zt6xvaXDEU/wmCe4g==" spinCount="100000" sheet="1" formatCells="0" formatColumns="0" formatRows="0" insertColumns="0" insertRows="0" insertHyperlinks="0" deleteColumns="0" deleteRows="0" sort="0" autoFilter="0" pivotTables="0"/>
  <mergeCells count="17">
    <mergeCell ref="S3:S4"/>
    <mergeCell ref="U3:W3"/>
    <mergeCell ref="T3:T4"/>
    <mergeCell ref="AA1:AB1"/>
    <mergeCell ref="J1:Y1"/>
    <mergeCell ref="A1:I1"/>
    <mergeCell ref="AA2:AB2"/>
    <mergeCell ref="A3:C3"/>
    <mergeCell ref="E3:E4"/>
    <mergeCell ref="F3:F4"/>
    <mergeCell ref="R2:Y2"/>
    <mergeCell ref="F2:Q2"/>
    <mergeCell ref="Y3:Y4"/>
    <mergeCell ref="X3:X4"/>
    <mergeCell ref="Q3:Q4"/>
    <mergeCell ref="R3:R4"/>
    <mergeCell ref="D3:D4"/>
  </mergeCells>
  <conditionalFormatting sqref="D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F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N4 M3:Q3 G3:J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2:AA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2">
    <dataValidation type="whole" allowBlank="1" showInputMessage="1" showErrorMessage="1" sqref="U5:U104 C5:C104" xr:uid="{00000000-0002-0000-0000-000000000000}">
      <formula1>1</formula1>
      <formula2>31</formula2>
    </dataValidation>
    <dataValidation type="whole" allowBlank="1" showInputMessage="1" showErrorMessage="1" sqref="V5:V104 B5:B104" xr:uid="{00000000-0002-0000-0000-000001000000}">
      <formula1>1</formula1>
      <formula2>12</formula2>
    </dataValidation>
    <dataValidation type="whole" allowBlank="1" showInputMessage="1" showErrorMessage="1" sqref="A105:A122" xr:uid="{00000000-0002-0000-0000-000002000000}">
      <formula1>2022</formula1>
      <formula2>2023</formula2>
    </dataValidation>
    <dataValidation type="list" allowBlank="1" showInputMessage="1" showErrorMessage="1" sqref="F5:F104" xr:uid="{00000000-0002-0000-0000-000003000000}">
      <formula1>$AB$7:$AB$9</formula1>
    </dataValidation>
    <dataValidation type="whole" allowBlank="1" showInputMessage="1" showErrorMessage="1" sqref="O4:P4" xr:uid="{00000000-0002-0000-0000-000004000000}">
      <formula1>1</formula1>
      <formula2>999999</formula2>
    </dataValidation>
    <dataValidation type="list" allowBlank="1" showInputMessage="1" showErrorMessage="1" sqref="S105:S125" xr:uid="{00000000-0002-0000-0000-000005000000}">
      <formula1>$AB$3:$AB$4</formula1>
    </dataValidation>
    <dataValidation type="whole" allowBlank="1" showInputMessage="1" showErrorMessage="1" errorTitle="Only 2023 &amp; 2024 Year Allowed" promptTitle="Only 2023 &amp; 2024 Year Allowed" sqref="A5:A104" xr:uid="{00000000-0002-0000-0000-000006000000}">
      <formula1>2023</formula1>
      <formula2>2024</formula2>
    </dataValidation>
    <dataValidation type="whole" allowBlank="1" showInputMessage="1" showErrorMessage="1" sqref="W5:W104" xr:uid="{00000000-0002-0000-0000-000007000000}">
      <formula1>2023</formula1>
      <formula2>2024</formula2>
    </dataValidation>
    <dataValidation type="list" allowBlank="1" showInputMessage="1" showErrorMessage="1" sqref="S5:S104" xr:uid="{00000000-0002-0000-0000-000008000000}">
      <formula1>$AB$3:$AB$6</formula1>
    </dataValidation>
    <dataValidation type="whole" allowBlank="1" showInputMessage="1" showErrorMessage="1" sqref="G5:P104" xr:uid="{00000000-0002-0000-0000-000009000000}">
      <formula1>1</formula1>
      <formula2>10000000</formula2>
    </dataValidation>
    <dataValidation type="whole" allowBlank="1" showInputMessage="1" showErrorMessage="1" sqref="Q5:Q104" xr:uid="{00000000-0002-0000-0000-00000A000000}">
      <formula1>1</formula1>
      <formula2>30000000</formula2>
    </dataValidation>
    <dataValidation type="list" allowBlank="1" showInputMessage="1" showErrorMessage="1" sqref="R5:R104" xr:uid="{00000000-0002-0000-0000-00000B000000}">
      <formula1>$AA$3:$AA$30</formula1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Month_Report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arm-ditech</dc:creator>
  <cp:lastModifiedBy>Admin</cp:lastModifiedBy>
  <cp:lastPrinted>2023-07-18T17:18:08Z</cp:lastPrinted>
  <dcterms:created xsi:type="dcterms:W3CDTF">2021-05-16T08:55:37Z</dcterms:created>
  <dcterms:modified xsi:type="dcterms:W3CDTF">2024-06-11T08:28:36Z</dcterms:modified>
</cp:coreProperties>
</file>